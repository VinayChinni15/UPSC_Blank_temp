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solutefinanceindia-my.sharepoint.com/personal/team_absolutefinance_in/Documents/CozyCornerPatios/FAM/Fabrics/FEDEX/2026/07 July 26/"/>
    </mc:Choice>
  </mc:AlternateContent>
  <xr:revisionPtr revIDLastSave="1" documentId="8_{E099FD61-8E4E-4CCD-B707-C44546BDCF65}" xr6:coauthVersionLast="47" xr6:coauthVersionMax="47" xr10:uidLastSave="{70E7A500-526F-4E46-93DC-A1DB98AB7CA1}"/>
  <bookViews>
    <workbookView xWindow="-108" yWindow="-108" windowWidth="23256" windowHeight="12456" xr2:uid="{F13466B4-7B26-4DBF-AEC4-19DF57CFD61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85" i="1" l="1"/>
  <c r="R885" i="1"/>
  <c r="S885" i="1" s="1"/>
  <c r="Q885" i="1"/>
  <c r="S884" i="1"/>
  <c r="R884" i="1"/>
  <c r="Q884" i="1"/>
  <c r="S883" i="1"/>
  <c r="R883" i="1"/>
  <c r="Q883" i="1"/>
  <c r="S882" i="1"/>
  <c r="R882" i="1"/>
  <c r="Q882" i="1"/>
  <c r="R881" i="1"/>
  <c r="S881" i="1" s="1"/>
  <c r="Q881" i="1"/>
  <c r="R880" i="1"/>
  <c r="S880" i="1" s="1"/>
  <c r="Q880" i="1"/>
  <c r="R879" i="1"/>
  <c r="S879" i="1" s="1"/>
  <c r="Q879" i="1"/>
  <c r="R878" i="1"/>
  <c r="S878" i="1" s="1"/>
  <c r="Q878" i="1"/>
  <c r="R877" i="1"/>
  <c r="S877" i="1" s="1"/>
  <c r="Q877" i="1"/>
  <c r="R876" i="1"/>
  <c r="S876" i="1" s="1"/>
  <c r="Q876" i="1"/>
  <c r="R875" i="1"/>
  <c r="S875" i="1" s="1"/>
  <c r="Q875" i="1"/>
  <c r="R874" i="1"/>
  <c r="S874" i="1" s="1"/>
  <c r="Q874" i="1"/>
  <c r="R873" i="1"/>
  <c r="S873" i="1" s="1"/>
  <c r="Q873" i="1"/>
  <c r="R872" i="1"/>
  <c r="S872" i="1" s="1"/>
  <c r="Q872" i="1"/>
  <c r="R871" i="1"/>
  <c r="S871" i="1" s="1"/>
  <c r="Q871" i="1"/>
  <c r="R870" i="1"/>
  <c r="S870" i="1" s="1"/>
  <c r="Q870" i="1"/>
  <c r="R869" i="1"/>
  <c r="S869" i="1" s="1"/>
  <c r="Q869" i="1"/>
  <c r="R868" i="1"/>
  <c r="S868" i="1" s="1"/>
  <c r="Q868" i="1"/>
  <c r="R867" i="1"/>
  <c r="S867" i="1" s="1"/>
  <c r="Q867" i="1"/>
  <c r="R866" i="1"/>
  <c r="S866" i="1" s="1"/>
  <c r="Q866" i="1"/>
  <c r="R865" i="1"/>
  <c r="S865" i="1" s="1"/>
  <c r="Q865" i="1"/>
  <c r="R864" i="1"/>
  <c r="S864" i="1" s="1"/>
  <c r="Q864" i="1"/>
  <c r="R863" i="1"/>
  <c r="S863" i="1" s="1"/>
  <c r="Q863" i="1"/>
  <c r="R862" i="1"/>
  <c r="S862" i="1" s="1"/>
  <c r="Q862" i="1"/>
  <c r="R861" i="1"/>
  <c r="S861" i="1" s="1"/>
  <c r="Q861" i="1"/>
  <c r="R860" i="1"/>
  <c r="S860" i="1" s="1"/>
  <c r="Q860" i="1"/>
  <c r="R859" i="1"/>
  <c r="S859" i="1" s="1"/>
  <c r="Q859" i="1"/>
  <c r="R858" i="1"/>
  <c r="S858" i="1" s="1"/>
  <c r="Q858" i="1"/>
  <c r="R857" i="1"/>
  <c r="S857" i="1" s="1"/>
  <c r="Q857" i="1"/>
  <c r="R856" i="1"/>
  <c r="S856" i="1" s="1"/>
  <c r="Q856" i="1"/>
  <c r="R855" i="1"/>
  <c r="S855" i="1" s="1"/>
  <c r="Q855" i="1"/>
  <c r="R854" i="1"/>
  <c r="S854" i="1" s="1"/>
  <c r="Q854" i="1"/>
  <c r="R853" i="1"/>
  <c r="S853" i="1" s="1"/>
  <c r="Q853" i="1"/>
  <c r="R852" i="1"/>
  <c r="S852" i="1" s="1"/>
  <c r="Q852" i="1"/>
  <c r="R851" i="1"/>
  <c r="S851" i="1" s="1"/>
  <c r="Q851" i="1"/>
  <c r="R850" i="1"/>
  <c r="S850" i="1" s="1"/>
  <c r="Q850" i="1"/>
  <c r="R849" i="1"/>
  <c r="S849" i="1" s="1"/>
  <c r="Q849" i="1"/>
  <c r="R848" i="1"/>
  <c r="S848" i="1" s="1"/>
  <c r="Q848" i="1"/>
  <c r="R847" i="1"/>
  <c r="S847" i="1" s="1"/>
  <c r="Q847" i="1"/>
  <c r="R846" i="1"/>
  <c r="S846" i="1" s="1"/>
  <c r="Q846" i="1"/>
  <c r="R845" i="1"/>
  <c r="S845" i="1" s="1"/>
  <c r="Q845" i="1"/>
  <c r="R844" i="1"/>
  <c r="S844" i="1" s="1"/>
  <c r="Q844" i="1"/>
  <c r="R843" i="1"/>
  <c r="S843" i="1" s="1"/>
  <c r="Q843" i="1"/>
  <c r="R842" i="1"/>
  <c r="S842" i="1" s="1"/>
  <c r="Q842" i="1"/>
  <c r="R841" i="1"/>
  <c r="S841" i="1" s="1"/>
  <c r="Q841" i="1"/>
  <c r="R840" i="1"/>
  <c r="S840" i="1" s="1"/>
  <c r="Q840" i="1"/>
  <c r="R839" i="1"/>
  <c r="S839" i="1" s="1"/>
  <c r="Q839" i="1"/>
  <c r="S838" i="1"/>
  <c r="R838" i="1"/>
  <c r="Q838" i="1"/>
  <c r="R837" i="1"/>
  <c r="S837" i="1" s="1"/>
  <c r="Q837" i="1"/>
  <c r="R836" i="1"/>
  <c r="S836" i="1" s="1"/>
  <c r="Q836" i="1"/>
  <c r="R835" i="1"/>
  <c r="S835" i="1" s="1"/>
  <c r="Q835" i="1"/>
  <c r="R834" i="1"/>
  <c r="S834" i="1" s="1"/>
  <c r="Q834" i="1"/>
  <c r="R833" i="1"/>
  <c r="S833" i="1" s="1"/>
  <c r="Q833" i="1"/>
  <c r="R832" i="1"/>
  <c r="S832" i="1" s="1"/>
  <c r="Q832" i="1"/>
  <c r="R831" i="1"/>
  <c r="S831" i="1" s="1"/>
  <c r="Q831" i="1"/>
  <c r="R830" i="1"/>
  <c r="S830" i="1" s="1"/>
  <c r="Q830" i="1"/>
  <c r="R829" i="1"/>
  <c r="S829" i="1" s="1"/>
  <c r="Q829" i="1"/>
  <c r="R828" i="1"/>
  <c r="S828" i="1" s="1"/>
  <c r="Q828" i="1"/>
  <c r="R827" i="1"/>
  <c r="S827" i="1" s="1"/>
  <c r="Q827" i="1"/>
  <c r="R826" i="1"/>
  <c r="S826" i="1" s="1"/>
  <c r="Q826" i="1"/>
  <c r="R825" i="1"/>
  <c r="S825" i="1" s="1"/>
  <c r="Q825" i="1"/>
  <c r="R824" i="1"/>
  <c r="S824" i="1" s="1"/>
  <c r="Q824" i="1"/>
  <c r="R823" i="1"/>
  <c r="S823" i="1" s="1"/>
  <c r="Q823" i="1"/>
  <c r="R822" i="1"/>
  <c r="S822" i="1" s="1"/>
  <c r="Q822" i="1"/>
  <c r="R821" i="1"/>
  <c r="S821" i="1" s="1"/>
  <c r="Q821" i="1"/>
  <c r="R820" i="1"/>
  <c r="S820" i="1" s="1"/>
  <c r="Q820" i="1"/>
  <c r="R819" i="1"/>
  <c r="S819" i="1" s="1"/>
  <c r="Q819" i="1"/>
  <c r="R818" i="1"/>
  <c r="S818" i="1" s="1"/>
  <c r="Q818" i="1"/>
  <c r="R817" i="1"/>
  <c r="S817" i="1" s="1"/>
  <c r="Q817" i="1"/>
  <c r="R816" i="1"/>
  <c r="S816" i="1" s="1"/>
  <c r="Q816" i="1"/>
  <c r="R815" i="1"/>
  <c r="S815" i="1" s="1"/>
  <c r="Q815" i="1"/>
  <c r="R814" i="1"/>
  <c r="S814" i="1" s="1"/>
  <c r="Q814" i="1"/>
  <c r="R813" i="1"/>
  <c r="S813" i="1" s="1"/>
  <c r="Q813" i="1"/>
  <c r="R812" i="1"/>
  <c r="S812" i="1" s="1"/>
  <c r="Q812" i="1"/>
  <c r="R811" i="1"/>
  <c r="S811" i="1" s="1"/>
  <c r="Q811" i="1"/>
  <c r="R810" i="1"/>
  <c r="S810" i="1" s="1"/>
  <c r="Q810" i="1"/>
  <c r="R809" i="1"/>
  <c r="S809" i="1" s="1"/>
  <c r="Q809" i="1"/>
  <c r="R808" i="1"/>
  <c r="S808" i="1" s="1"/>
  <c r="Q808" i="1"/>
  <c r="R807" i="1"/>
  <c r="S807" i="1" s="1"/>
  <c r="Q807" i="1"/>
  <c r="R806" i="1"/>
  <c r="S806" i="1" s="1"/>
  <c r="Q806" i="1"/>
  <c r="R805" i="1"/>
  <c r="S805" i="1" s="1"/>
  <c r="Q805" i="1"/>
  <c r="R804" i="1"/>
  <c r="S804" i="1" s="1"/>
  <c r="Q804" i="1"/>
  <c r="R803" i="1"/>
  <c r="S803" i="1" s="1"/>
  <c r="Q803" i="1"/>
  <c r="R802" i="1"/>
  <c r="S802" i="1" s="1"/>
  <c r="Q802" i="1"/>
  <c r="R801" i="1"/>
  <c r="S801" i="1" s="1"/>
  <c r="Q801" i="1"/>
  <c r="R800" i="1"/>
  <c r="S800" i="1" s="1"/>
  <c r="Q800" i="1"/>
  <c r="R799" i="1"/>
  <c r="S799" i="1" s="1"/>
  <c r="Q799" i="1"/>
  <c r="R798" i="1"/>
  <c r="S798" i="1" s="1"/>
  <c r="Q798" i="1"/>
  <c r="R797" i="1"/>
  <c r="S797" i="1" s="1"/>
  <c r="Q797" i="1"/>
  <c r="R796" i="1"/>
  <c r="S796" i="1" s="1"/>
  <c r="Q796" i="1"/>
  <c r="R795" i="1"/>
  <c r="S795" i="1" s="1"/>
  <c r="Q795" i="1"/>
  <c r="R794" i="1"/>
  <c r="S794" i="1" s="1"/>
  <c r="Q794" i="1"/>
  <c r="R793" i="1"/>
  <c r="S793" i="1" s="1"/>
  <c r="Q793" i="1"/>
  <c r="R792" i="1"/>
  <c r="S792" i="1" s="1"/>
  <c r="Q792" i="1"/>
  <c r="R791" i="1"/>
  <c r="S791" i="1" s="1"/>
  <c r="Q791" i="1"/>
  <c r="R790" i="1"/>
  <c r="S790" i="1" s="1"/>
  <c r="Q790" i="1"/>
  <c r="R789" i="1"/>
  <c r="S789" i="1" s="1"/>
  <c r="Q789" i="1"/>
  <c r="R788" i="1"/>
  <c r="S788" i="1" s="1"/>
  <c r="Q788" i="1"/>
  <c r="R787" i="1"/>
  <c r="S787" i="1" s="1"/>
  <c r="Q787" i="1"/>
  <c r="R786" i="1"/>
  <c r="S786" i="1" s="1"/>
  <c r="Q786" i="1"/>
  <c r="R785" i="1"/>
  <c r="S785" i="1" s="1"/>
  <c r="Q785" i="1"/>
  <c r="R784" i="1"/>
  <c r="S784" i="1" s="1"/>
  <c r="Q784" i="1"/>
  <c r="R783" i="1"/>
  <c r="S783" i="1" s="1"/>
  <c r="Q783" i="1"/>
  <c r="R782" i="1"/>
  <c r="S782" i="1" s="1"/>
  <c r="Q782" i="1"/>
  <c r="R781" i="1"/>
  <c r="S781" i="1" s="1"/>
  <c r="Q781" i="1"/>
  <c r="R780" i="1"/>
  <c r="S780" i="1" s="1"/>
  <c r="Q780" i="1"/>
  <c r="R779" i="1"/>
  <c r="S779" i="1" s="1"/>
  <c r="Q779" i="1"/>
  <c r="R778" i="1"/>
  <c r="S778" i="1" s="1"/>
  <c r="Q778" i="1"/>
  <c r="R777" i="1"/>
  <c r="S777" i="1" s="1"/>
  <c r="Q777" i="1"/>
  <c r="R776" i="1"/>
  <c r="S776" i="1" s="1"/>
  <c r="Q776" i="1"/>
  <c r="R775" i="1"/>
  <c r="S775" i="1" s="1"/>
  <c r="Q775" i="1"/>
  <c r="R774" i="1"/>
  <c r="S774" i="1" s="1"/>
  <c r="Q774" i="1"/>
  <c r="R773" i="1"/>
  <c r="S773" i="1" s="1"/>
  <c r="Q773" i="1"/>
  <c r="R772" i="1"/>
  <c r="S772" i="1" s="1"/>
  <c r="Q772" i="1"/>
  <c r="R771" i="1"/>
  <c r="S771" i="1" s="1"/>
  <c r="Q771" i="1"/>
  <c r="R770" i="1"/>
  <c r="S770" i="1" s="1"/>
  <c r="Q770" i="1"/>
  <c r="R769" i="1"/>
  <c r="S769" i="1" s="1"/>
  <c r="Q769" i="1"/>
  <c r="R768" i="1"/>
  <c r="S768" i="1" s="1"/>
  <c r="Q768" i="1"/>
  <c r="R767" i="1"/>
  <c r="S767" i="1" s="1"/>
  <c r="Q767" i="1"/>
  <c r="R766" i="1"/>
  <c r="S766" i="1" s="1"/>
  <c r="Q766" i="1"/>
  <c r="R765" i="1"/>
  <c r="S765" i="1" s="1"/>
  <c r="Q765" i="1"/>
  <c r="R764" i="1"/>
  <c r="S764" i="1" s="1"/>
  <c r="Q764" i="1"/>
  <c r="R763" i="1"/>
  <c r="S763" i="1" s="1"/>
  <c r="Q763" i="1"/>
  <c r="R762" i="1"/>
  <c r="S762" i="1" s="1"/>
  <c r="Q762" i="1"/>
  <c r="R761" i="1"/>
  <c r="S761" i="1" s="1"/>
  <c r="Q761" i="1"/>
  <c r="R760" i="1"/>
  <c r="S760" i="1" s="1"/>
  <c r="Q760" i="1"/>
  <c r="R759" i="1"/>
  <c r="S759" i="1" s="1"/>
  <c r="Q759" i="1"/>
  <c r="R758" i="1"/>
  <c r="S758" i="1" s="1"/>
  <c r="Q758" i="1"/>
  <c r="R757" i="1"/>
  <c r="S757" i="1" s="1"/>
  <c r="Q757" i="1"/>
  <c r="R756" i="1"/>
  <c r="S756" i="1" s="1"/>
  <c r="Q756" i="1"/>
  <c r="R755" i="1"/>
  <c r="S755" i="1" s="1"/>
  <c r="Q755" i="1"/>
  <c r="R754" i="1"/>
  <c r="S754" i="1" s="1"/>
  <c r="Q754" i="1"/>
  <c r="R753" i="1"/>
  <c r="S753" i="1" s="1"/>
  <c r="Q753" i="1"/>
  <c r="R752" i="1"/>
  <c r="S752" i="1" s="1"/>
  <c r="Q752" i="1"/>
  <c r="R751" i="1"/>
  <c r="S751" i="1" s="1"/>
  <c r="Q751" i="1"/>
  <c r="R750" i="1"/>
  <c r="S750" i="1" s="1"/>
  <c r="Q750" i="1"/>
  <c r="R749" i="1"/>
  <c r="S749" i="1" s="1"/>
  <c r="Q749" i="1"/>
  <c r="R748" i="1"/>
  <c r="S748" i="1" s="1"/>
  <c r="Q748" i="1"/>
  <c r="R747" i="1"/>
  <c r="S747" i="1" s="1"/>
  <c r="Q747" i="1"/>
  <c r="R746" i="1"/>
  <c r="S746" i="1" s="1"/>
  <c r="Q746" i="1"/>
  <c r="R745" i="1"/>
  <c r="S745" i="1" s="1"/>
  <c r="Q745" i="1"/>
  <c r="R744" i="1"/>
  <c r="S744" i="1" s="1"/>
  <c r="Q744" i="1"/>
  <c r="R743" i="1"/>
  <c r="S743" i="1" s="1"/>
  <c r="Q743" i="1"/>
  <c r="R742" i="1"/>
  <c r="S742" i="1" s="1"/>
  <c r="Q742" i="1"/>
  <c r="R741" i="1"/>
  <c r="S741" i="1" s="1"/>
  <c r="Q741" i="1"/>
  <c r="R740" i="1"/>
  <c r="S740" i="1" s="1"/>
  <c r="Q740" i="1"/>
  <c r="R739" i="1"/>
  <c r="S739" i="1" s="1"/>
  <c r="Q739" i="1"/>
  <c r="R738" i="1"/>
  <c r="S738" i="1" s="1"/>
  <c r="Q738" i="1"/>
  <c r="R737" i="1"/>
  <c r="S737" i="1" s="1"/>
  <c r="Q737" i="1"/>
  <c r="R736" i="1"/>
  <c r="S736" i="1" s="1"/>
  <c r="Q736" i="1"/>
  <c r="R735" i="1"/>
  <c r="S735" i="1" s="1"/>
  <c r="Q735" i="1"/>
  <c r="R734" i="1"/>
  <c r="S734" i="1" s="1"/>
  <c r="Q734" i="1"/>
  <c r="R733" i="1"/>
  <c r="S733" i="1" s="1"/>
  <c r="Q733" i="1"/>
  <c r="R732" i="1"/>
  <c r="S732" i="1" s="1"/>
  <c r="Q732" i="1"/>
  <c r="R731" i="1"/>
  <c r="S731" i="1" s="1"/>
  <c r="Q731" i="1"/>
  <c r="R730" i="1"/>
  <c r="S730" i="1" s="1"/>
  <c r="Q730" i="1"/>
  <c r="R729" i="1"/>
  <c r="S729" i="1" s="1"/>
  <c r="Q729" i="1"/>
  <c r="R728" i="1"/>
  <c r="S728" i="1" s="1"/>
  <c r="Q728" i="1"/>
  <c r="R727" i="1"/>
  <c r="S727" i="1" s="1"/>
  <c r="Q727" i="1"/>
  <c r="R726" i="1"/>
  <c r="S726" i="1" s="1"/>
  <c r="Q726" i="1"/>
  <c r="R725" i="1"/>
  <c r="S725" i="1" s="1"/>
  <c r="Q725" i="1"/>
  <c r="R724" i="1"/>
  <c r="S724" i="1" s="1"/>
  <c r="Q724" i="1"/>
  <c r="R723" i="1"/>
  <c r="S723" i="1" s="1"/>
  <c r="Q723" i="1"/>
  <c r="R722" i="1"/>
  <c r="S722" i="1" s="1"/>
  <c r="Q722" i="1"/>
  <c r="R721" i="1"/>
  <c r="S721" i="1" s="1"/>
  <c r="Q721" i="1"/>
  <c r="R720" i="1"/>
  <c r="S720" i="1" s="1"/>
  <c r="Q720" i="1"/>
  <c r="R719" i="1"/>
  <c r="S719" i="1" s="1"/>
  <c r="Q719" i="1"/>
  <c r="R718" i="1"/>
  <c r="S718" i="1" s="1"/>
  <c r="Q718" i="1"/>
  <c r="R717" i="1"/>
  <c r="S717" i="1" s="1"/>
  <c r="Q717" i="1"/>
  <c r="R716" i="1"/>
  <c r="S716" i="1" s="1"/>
  <c r="Q716" i="1"/>
  <c r="R715" i="1"/>
  <c r="S715" i="1" s="1"/>
  <c r="Q715" i="1"/>
  <c r="R714" i="1"/>
  <c r="S714" i="1" s="1"/>
  <c r="Q714" i="1"/>
  <c r="R713" i="1"/>
  <c r="S713" i="1" s="1"/>
  <c r="Q713" i="1"/>
  <c r="R712" i="1"/>
  <c r="S712" i="1" s="1"/>
  <c r="Q712" i="1"/>
  <c r="R711" i="1"/>
  <c r="S711" i="1" s="1"/>
  <c r="Q711" i="1"/>
  <c r="R710" i="1"/>
  <c r="S710" i="1" s="1"/>
  <c r="Q710" i="1"/>
  <c r="R709" i="1"/>
  <c r="S709" i="1" s="1"/>
  <c r="Q709" i="1"/>
  <c r="R708" i="1"/>
  <c r="S708" i="1" s="1"/>
  <c r="Q708" i="1"/>
  <c r="R707" i="1"/>
  <c r="S707" i="1" s="1"/>
  <c r="Q707" i="1"/>
  <c r="R706" i="1"/>
  <c r="S706" i="1" s="1"/>
  <c r="Q706" i="1"/>
  <c r="R705" i="1"/>
  <c r="S705" i="1" s="1"/>
  <c r="Q705" i="1"/>
  <c r="R704" i="1"/>
  <c r="S704" i="1" s="1"/>
  <c r="Q704" i="1"/>
  <c r="R703" i="1"/>
  <c r="S703" i="1" s="1"/>
  <c r="Q703" i="1"/>
  <c r="R702" i="1"/>
  <c r="S702" i="1" s="1"/>
  <c r="Q702" i="1"/>
  <c r="R701" i="1"/>
  <c r="S701" i="1" s="1"/>
  <c r="Q701" i="1"/>
  <c r="R700" i="1"/>
  <c r="S700" i="1" s="1"/>
  <c r="Q700" i="1"/>
  <c r="R699" i="1"/>
  <c r="S699" i="1" s="1"/>
  <c r="Q699" i="1"/>
  <c r="R698" i="1"/>
  <c r="S698" i="1" s="1"/>
  <c r="Q698" i="1"/>
  <c r="R697" i="1"/>
  <c r="S697" i="1" s="1"/>
  <c r="Q697" i="1"/>
  <c r="R696" i="1"/>
  <c r="S696" i="1" s="1"/>
  <c r="Q696" i="1"/>
  <c r="R695" i="1"/>
  <c r="S695" i="1" s="1"/>
  <c r="Q695" i="1"/>
  <c r="R694" i="1"/>
  <c r="S694" i="1" s="1"/>
  <c r="Q694" i="1"/>
  <c r="R693" i="1"/>
  <c r="S693" i="1" s="1"/>
  <c r="Q693" i="1"/>
  <c r="R692" i="1"/>
  <c r="S692" i="1" s="1"/>
  <c r="Q692" i="1"/>
  <c r="R691" i="1"/>
  <c r="S691" i="1" s="1"/>
  <c r="Q691" i="1"/>
  <c r="R690" i="1"/>
  <c r="S690" i="1" s="1"/>
  <c r="Q690" i="1"/>
  <c r="R689" i="1"/>
  <c r="S689" i="1" s="1"/>
  <c r="Q689" i="1"/>
  <c r="R688" i="1"/>
  <c r="S688" i="1" s="1"/>
  <c r="Q688" i="1"/>
  <c r="R687" i="1"/>
  <c r="S687" i="1" s="1"/>
  <c r="Q687" i="1"/>
  <c r="R686" i="1"/>
  <c r="S686" i="1" s="1"/>
  <c r="Q686" i="1"/>
  <c r="R685" i="1"/>
  <c r="S685" i="1" s="1"/>
  <c r="Q685" i="1"/>
  <c r="R684" i="1"/>
  <c r="S684" i="1" s="1"/>
  <c r="Q684" i="1"/>
  <c r="R683" i="1"/>
  <c r="S683" i="1" s="1"/>
  <c r="Q683" i="1"/>
  <c r="R682" i="1"/>
  <c r="S682" i="1" s="1"/>
  <c r="Q682" i="1"/>
  <c r="R681" i="1"/>
  <c r="S681" i="1" s="1"/>
  <c r="Q681" i="1"/>
  <c r="R680" i="1"/>
  <c r="S680" i="1" s="1"/>
  <c r="Q680" i="1"/>
  <c r="R679" i="1"/>
  <c r="S679" i="1" s="1"/>
  <c r="Q679" i="1"/>
  <c r="R678" i="1"/>
  <c r="S678" i="1" s="1"/>
  <c r="Q678" i="1"/>
  <c r="R677" i="1"/>
  <c r="S677" i="1" s="1"/>
  <c r="Q677" i="1"/>
  <c r="R676" i="1"/>
  <c r="S676" i="1" s="1"/>
  <c r="Q676" i="1"/>
  <c r="R675" i="1"/>
  <c r="S675" i="1" s="1"/>
  <c r="Q675" i="1"/>
  <c r="R674" i="1"/>
  <c r="S674" i="1" s="1"/>
  <c r="Q674" i="1"/>
  <c r="R673" i="1"/>
  <c r="S673" i="1" s="1"/>
  <c r="Q673" i="1"/>
  <c r="R672" i="1"/>
  <c r="S672" i="1" s="1"/>
  <c r="Q672" i="1"/>
  <c r="R671" i="1"/>
  <c r="S671" i="1" s="1"/>
  <c r="Q671" i="1"/>
  <c r="R670" i="1"/>
  <c r="S670" i="1" s="1"/>
  <c r="Q670" i="1"/>
  <c r="R669" i="1"/>
  <c r="S669" i="1" s="1"/>
  <c r="Q669" i="1"/>
  <c r="R668" i="1"/>
  <c r="S668" i="1" s="1"/>
  <c r="Q668" i="1"/>
  <c r="R667" i="1"/>
  <c r="S667" i="1" s="1"/>
  <c r="Q667" i="1"/>
  <c r="R666" i="1"/>
  <c r="S666" i="1" s="1"/>
  <c r="Q666" i="1"/>
  <c r="R665" i="1"/>
  <c r="S665" i="1" s="1"/>
  <c r="Q665" i="1"/>
  <c r="R664" i="1"/>
  <c r="S664" i="1" s="1"/>
  <c r="Q664" i="1"/>
  <c r="R663" i="1"/>
  <c r="S663" i="1" s="1"/>
  <c r="Q663" i="1"/>
  <c r="R662" i="1"/>
  <c r="S662" i="1" s="1"/>
  <c r="Q662" i="1"/>
  <c r="R661" i="1"/>
  <c r="S661" i="1" s="1"/>
  <c r="Q661" i="1"/>
  <c r="R660" i="1"/>
  <c r="S660" i="1" s="1"/>
  <c r="Q660" i="1"/>
  <c r="R659" i="1"/>
  <c r="S659" i="1" s="1"/>
  <c r="Q659" i="1"/>
  <c r="R658" i="1"/>
  <c r="S658" i="1" s="1"/>
  <c r="Q658" i="1"/>
  <c r="R657" i="1"/>
  <c r="S657" i="1" s="1"/>
  <c r="Q657" i="1"/>
  <c r="R656" i="1"/>
  <c r="S656" i="1" s="1"/>
  <c r="Q656" i="1"/>
  <c r="R655" i="1"/>
  <c r="S655" i="1" s="1"/>
  <c r="Q655" i="1"/>
  <c r="R654" i="1"/>
  <c r="S654" i="1" s="1"/>
  <c r="Q654" i="1"/>
  <c r="R653" i="1"/>
  <c r="S653" i="1" s="1"/>
  <c r="Q653" i="1"/>
  <c r="R652" i="1"/>
  <c r="S652" i="1" s="1"/>
  <c r="Q652" i="1"/>
  <c r="R651" i="1"/>
  <c r="S651" i="1" s="1"/>
  <c r="Q651" i="1"/>
  <c r="R650" i="1"/>
  <c r="S650" i="1" s="1"/>
  <c r="Q650" i="1"/>
  <c r="R649" i="1"/>
  <c r="S649" i="1" s="1"/>
  <c r="Q649" i="1"/>
  <c r="R648" i="1"/>
  <c r="S648" i="1" s="1"/>
  <c r="Q648" i="1"/>
  <c r="R647" i="1"/>
  <c r="S647" i="1" s="1"/>
  <c r="Q647" i="1"/>
  <c r="R646" i="1"/>
  <c r="S646" i="1" s="1"/>
  <c r="Q646" i="1"/>
  <c r="R645" i="1"/>
  <c r="S645" i="1" s="1"/>
  <c r="Q645" i="1"/>
  <c r="R644" i="1"/>
  <c r="S644" i="1" s="1"/>
  <c r="Q644" i="1"/>
  <c r="R643" i="1"/>
  <c r="S643" i="1" s="1"/>
  <c r="Q643" i="1"/>
  <c r="R642" i="1"/>
  <c r="S642" i="1" s="1"/>
  <c r="Q642" i="1"/>
  <c r="R641" i="1"/>
  <c r="S641" i="1" s="1"/>
  <c r="Q641" i="1"/>
  <c r="R640" i="1"/>
  <c r="S640" i="1" s="1"/>
  <c r="Q640" i="1"/>
  <c r="R639" i="1"/>
  <c r="S639" i="1" s="1"/>
  <c r="Q639" i="1"/>
  <c r="R638" i="1"/>
  <c r="S638" i="1" s="1"/>
  <c r="Q638" i="1"/>
  <c r="R637" i="1"/>
  <c r="S637" i="1" s="1"/>
  <c r="Q637" i="1"/>
  <c r="R636" i="1"/>
  <c r="S636" i="1" s="1"/>
  <c r="Q636" i="1"/>
  <c r="R635" i="1"/>
  <c r="S635" i="1" s="1"/>
  <c r="Q635" i="1"/>
  <c r="R634" i="1"/>
  <c r="S634" i="1" s="1"/>
  <c r="Q634" i="1"/>
  <c r="R633" i="1"/>
  <c r="S633" i="1" s="1"/>
  <c r="Q633" i="1"/>
  <c r="R632" i="1"/>
  <c r="S632" i="1" s="1"/>
  <c r="Q632" i="1"/>
  <c r="R631" i="1"/>
  <c r="S631" i="1" s="1"/>
  <c r="Q631" i="1"/>
  <c r="R630" i="1"/>
  <c r="S630" i="1" s="1"/>
  <c r="Q630" i="1"/>
  <c r="R629" i="1"/>
  <c r="S629" i="1" s="1"/>
  <c r="Q629" i="1"/>
  <c r="R628" i="1"/>
  <c r="S628" i="1" s="1"/>
  <c r="Q628" i="1"/>
  <c r="R627" i="1"/>
  <c r="S627" i="1" s="1"/>
  <c r="Q627" i="1"/>
  <c r="R626" i="1"/>
  <c r="S626" i="1" s="1"/>
  <c r="Q626" i="1"/>
  <c r="R625" i="1"/>
  <c r="S625" i="1" s="1"/>
  <c r="Q625" i="1"/>
  <c r="R624" i="1"/>
  <c r="S624" i="1" s="1"/>
  <c r="Q624" i="1"/>
  <c r="R623" i="1"/>
  <c r="S623" i="1" s="1"/>
  <c r="Q623" i="1"/>
  <c r="R622" i="1"/>
  <c r="S622" i="1" s="1"/>
  <c r="Q622" i="1"/>
  <c r="R621" i="1"/>
  <c r="S621" i="1" s="1"/>
  <c r="Q621" i="1"/>
  <c r="R620" i="1"/>
  <c r="S620" i="1" s="1"/>
  <c r="Q620" i="1"/>
  <c r="R619" i="1"/>
  <c r="S619" i="1" s="1"/>
  <c r="Q619" i="1"/>
  <c r="R618" i="1"/>
  <c r="S618" i="1" s="1"/>
  <c r="Q618" i="1"/>
  <c r="R617" i="1"/>
  <c r="S617" i="1" s="1"/>
  <c r="Q617" i="1"/>
  <c r="R616" i="1"/>
  <c r="S616" i="1" s="1"/>
  <c r="Q616" i="1"/>
  <c r="R615" i="1"/>
  <c r="S615" i="1" s="1"/>
  <c r="Q615" i="1"/>
  <c r="R614" i="1"/>
  <c r="S614" i="1" s="1"/>
  <c r="Q614" i="1"/>
  <c r="R613" i="1"/>
  <c r="S613" i="1" s="1"/>
  <c r="Q613" i="1"/>
  <c r="R612" i="1"/>
  <c r="S612" i="1" s="1"/>
  <c r="Q612" i="1"/>
  <c r="R611" i="1"/>
  <c r="S611" i="1" s="1"/>
  <c r="Q611" i="1"/>
  <c r="R610" i="1"/>
  <c r="S610" i="1" s="1"/>
  <c r="Q610" i="1"/>
  <c r="R609" i="1"/>
  <c r="S609" i="1" s="1"/>
  <c r="Q609" i="1"/>
  <c r="R608" i="1"/>
  <c r="S608" i="1" s="1"/>
  <c r="Q608" i="1"/>
  <c r="R607" i="1"/>
  <c r="S607" i="1" s="1"/>
  <c r="Q607" i="1"/>
  <c r="R606" i="1"/>
  <c r="S606" i="1" s="1"/>
  <c r="Q606" i="1"/>
  <c r="R605" i="1"/>
  <c r="S605" i="1" s="1"/>
  <c r="Q605" i="1"/>
  <c r="R604" i="1"/>
  <c r="S604" i="1" s="1"/>
  <c r="Q604" i="1"/>
  <c r="R603" i="1"/>
  <c r="S603" i="1" s="1"/>
  <c r="Q603" i="1"/>
  <c r="R602" i="1"/>
  <c r="S602" i="1" s="1"/>
  <c r="Q602" i="1"/>
  <c r="R601" i="1"/>
  <c r="S601" i="1" s="1"/>
  <c r="Q601" i="1"/>
  <c r="R600" i="1"/>
  <c r="S600" i="1" s="1"/>
  <c r="Q600" i="1"/>
  <c r="R599" i="1"/>
  <c r="S599" i="1" s="1"/>
  <c r="Q599" i="1"/>
  <c r="R598" i="1"/>
  <c r="S598" i="1" s="1"/>
  <c r="Q598" i="1"/>
  <c r="R597" i="1"/>
  <c r="S597" i="1" s="1"/>
  <c r="Q597" i="1"/>
  <c r="R596" i="1"/>
  <c r="S596" i="1" s="1"/>
  <c r="Q596" i="1"/>
  <c r="R595" i="1"/>
  <c r="S595" i="1" s="1"/>
  <c r="Q595" i="1"/>
  <c r="R594" i="1"/>
  <c r="S594" i="1" s="1"/>
  <c r="Q594" i="1"/>
  <c r="R593" i="1"/>
  <c r="S593" i="1" s="1"/>
  <c r="Q593" i="1"/>
  <c r="R592" i="1"/>
  <c r="S592" i="1" s="1"/>
  <c r="Q592" i="1"/>
  <c r="R591" i="1"/>
  <c r="S591" i="1" s="1"/>
  <c r="Q591" i="1"/>
  <c r="R590" i="1"/>
  <c r="S590" i="1" s="1"/>
  <c r="Q590" i="1"/>
  <c r="R589" i="1"/>
  <c r="S589" i="1" s="1"/>
  <c r="Q589" i="1"/>
  <c r="R588" i="1"/>
  <c r="S588" i="1" s="1"/>
  <c r="Q588" i="1"/>
  <c r="R587" i="1"/>
  <c r="S587" i="1" s="1"/>
  <c r="Q587" i="1"/>
  <c r="R586" i="1"/>
  <c r="S586" i="1" s="1"/>
  <c r="Q586" i="1"/>
  <c r="R585" i="1"/>
  <c r="S585" i="1" s="1"/>
  <c r="Q585" i="1"/>
  <c r="R584" i="1"/>
  <c r="S584" i="1" s="1"/>
  <c r="Q584" i="1"/>
  <c r="R583" i="1"/>
  <c r="S583" i="1" s="1"/>
  <c r="Q583" i="1"/>
  <c r="R582" i="1"/>
  <c r="S582" i="1" s="1"/>
  <c r="Q582" i="1"/>
  <c r="R581" i="1"/>
  <c r="S581" i="1" s="1"/>
  <c r="Q581" i="1"/>
  <c r="R580" i="1"/>
  <c r="S580" i="1" s="1"/>
  <c r="Q580" i="1"/>
  <c r="R579" i="1"/>
  <c r="S579" i="1" s="1"/>
  <c r="Q579" i="1"/>
  <c r="R578" i="1"/>
  <c r="S578" i="1" s="1"/>
  <c r="Q578" i="1"/>
  <c r="R577" i="1"/>
  <c r="S577" i="1" s="1"/>
  <c r="Q577" i="1"/>
  <c r="R576" i="1"/>
  <c r="S576" i="1" s="1"/>
  <c r="Q576" i="1"/>
  <c r="R575" i="1"/>
  <c r="S575" i="1" s="1"/>
  <c r="Q575" i="1"/>
  <c r="R574" i="1"/>
  <c r="S574" i="1" s="1"/>
  <c r="Q574" i="1"/>
  <c r="R573" i="1"/>
  <c r="S573" i="1" s="1"/>
  <c r="Q573" i="1"/>
  <c r="R572" i="1"/>
  <c r="S572" i="1" s="1"/>
  <c r="Q572" i="1"/>
  <c r="R571" i="1"/>
  <c r="S571" i="1" s="1"/>
  <c r="Q571" i="1"/>
  <c r="R570" i="1"/>
  <c r="S570" i="1" s="1"/>
  <c r="Q570" i="1"/>
  <c r="R569" i="1"/>
  <c r="S569" i="1" s="1"/>
  <c r="Q569" i="1"/>
  <c r="R568" i="1"/>
  <c r="S568" i="1" s="1"/>
  <c r="Q568" i="1"/>
  <c r="R567" i="1"/>
  <c r="S567" i="1" s="1"/>
  <c r="Q567" i="1"/>
  <c r="R566" i="1"/>
  <c r="S566" i="1" s="1"/>
  <c r="Q566" i="1"/>
  <c r="R565" i="1"/>
  <c r="S565" i="1" s="1"/>
  <c r="Q565" i="1"/>
  <c r="R564" i="1"/>
  <c r="S564" i="1" s="1"/>
  <c r="Q564" i="1"/>
  <c r="R563" i="1"/>
  <c r="S563" i="1" s="1"/>
  <c r="Q563" i="1"/>
  <c r="R562" i="1"/>
  <c r="S562" i="1" s="1"/>
  <c r="Q562" i="1"/>
  <c r="R561" i="1"/>
  <c r="S561" i="1" s="1"/>
  <c r="Q561" i="1"/>
  <c r="R560" i="1"/>
  <c r="S560" i="1" s="1"/>
  <c r="Q560" i="1"/>
  <c r="R559" i="1"/>
  <c r="S559" i="1" s="1"/>
  <c r="Q559" i="1"/>
  <c r="R558" i="1"/>
  <c r="S558" i="1" s="1"/>
  <c r="Q558" i="1"/>
  <c r="R557" i="1"/>
  <c r="S557" i="1" s="1"/>
  <c r="Q557" i="1"/>
  <c r="R556" i="1"/>
  <c r="S556" i="1" s="1"/>
  <c r="Q556" i="1"/>
  <c r="R555" i="1"/>
  <c r="S555" i="1" s="1"/>
  <c r="Q555" i="1"/>
  <c r="R554" i="1"/>
  <c r="S554" i="1" s="1"/>
  <c r="Q554" i="1"/>
  <c r="R553" i="1"/>
  <c r="S553" i="1" s="1"/>
  <c r="Q553" i="1"/>
  <c r="R552" i="1"/>
  <c r="S552" i="1" s="1"/>
  <c r="Q552" i="1"/>
  <c r="R551" i="1"/>
  <c r="S551" i="1" s="1"/>
  <c r="Q551" i="1"/>
  <c r="R550" i="1"/>
  <c r="S550" i="1" s="1"/>
  <c r="Q550" i="1"/>
  <c r="R549" i="1"/>
  <c r="S549" i="1" s="1"/>
  <c r="Q549" i="1"/>
  <c r="R548" i="1"/>
  <c r="S548" i="1" s="1"/>
  <c r="Q548" i="1"/>
  <c r="R547" i="1"/>
  <c r="S547" i="1" s="1"/>
  <c r="Q547" i="1"/>
  <c r="R546" i="1"/>
  <c r="S546" i="1" s="1"/>
  <c r="Q546" i="1"/>
  <c r="R545" i="1"/>
  <c r="S545" i="1" s="1"/>
  <c r="Q545" i="1"/>
  <c r="R544" i="1"/>
  <c r="S544" i="1" s="1"/>
  <c r="Q544" i="1"/>
  <c r="R543" i="1"/>
  <c r="S543" i="1" s="1"/>
  <c r="Q543" i="1"/>
  <c r="R542" i="1"/>
  <c r="S542" i="1" s="1"/>
  <c r="Q542" i="1"/>
  <c r="R541" i="1"/>
  <c r="S541" i="1" s="1"/>
  <c r="Q541" i="1"/>
  <c r="R540" i="1"/>
  <c r="S540" i="1" s="1"/>
  <c r="Q540" i="1"/>
  <c r="R539" i="1"/>
  <c r="S539" i="1" s="1"/>
  <c r="Q539" i="1"/>
  <c r="R538" i="1"/>
  <c r="S538" i="1" s="1"/>
  <c r="Q538" i="1"/>
  <c r="R537" i="1"/>
  <c r="S537" i="1" s="1"/>
  <c r="Q537" i="1"/>
  <c r="R536" i="1"/>
  <c r="S536" i="1" s="1"/>
  <c r="Q536" i="1"/>
  <c r="R535" i="1"/>
  <c r="S535" i="1" s="1"/>
  <c r="Q535" i="1"/>
  <c r="R534" i="1"/>
  <c r="S534" i="1" s="1"/>
  <c r="Q534" i="1"/>
  <c r="R533" i="1"/>
  <c r="S533" i="1" s="1"/>
  <c r="Q533" i="1"/>
  <c r="R532" i="1"/>
  <c r="S532" i="1" s="1"/>
  <c r="Q532" i="1"/>
  <c r="R531" i="1"/>
  <c r="S531" i="1" s="1"/>
  <c r="Q531" i="1"/>
  <c r="R530" i="1"/>
  <c r="S530" i="1" s="1"/>
  <c r="Q530" i="1"/>
  <c r="R529" i="1"/>
  <c r="S529" i="1" s="1"/>
  <c r="Q529" i="1"/>
  <c r="R528" i="1"/>
  <c r="S528" i="1" s="1"/>
  <c r="Q528" i="1"/>
  <c r="R527" i="1"/>
  <c r="S527" i="1" s="1"/>
  <c r="Q527" i="1"/>
  <c r="R526" i="1"/>
  <c r="S526" i="1" s="1"/>
  <c r="Q526" i="1"/>
  <c r="R525" i="1"/>
  <c r="S525" i="1" s="1"/>
  <c r="Q525" i="1"/>
  <c r="R524" i="1"/>
  <c r="S524" i="1" s="1"/>
  <c r="Q524" i="1"/>
  <c r="R523" i="1"/>
  <c r="S523" i="1" s="1"/>
  <c r="Q523" i="1"/>
  <c r="R522" i="1"/>
  <c r="S522" i="1" s="1"/>
  <c r="Q522" i="1"/>
  <c r="R521" i="1"/>
  <c r="S521" i="1" s="1"/>
  <c r="Q521" i="1"/>
  <c r="R520" i="1"/>
  <c r="S520" i="1" s="1"/>
  <c r="Q520" i="1"/>
  <c r="R519" i="1"/>
  <c r="S519" i="1" s="1"/>
  <c r="Q519" i="1"/>
  <c r="R518" i="1"/>
  <c r="S518" i="1" s="1"/>
  <c r="Q518" i="1"/>
  <c r="R517" i="1"/>
  <c r="S517" i="1" s="1"/>
  <c r="Q517" i="1"/>
  <c r="R516" i="1"/>
  <c r="S516" i="1" s="1"/>
  <c r="Q516" i="1"/>
  <c r="R515" i="1"/>
  <c r="S515" i="1" s="1"/>
  <c r="Q515" i="1"/>
  <c r="R514" i="1"/>
  <c r="S514" i="1" s="1"/>
  <c r="Q514" i="1"/>
  <c r="R513" i="1"/>
  <c r="S513" i="1" s="1"/>
  <c r="Q513" i="1"/>
  <c r="R512" i="1"/>
  <c r="S512" i="1" s="1"/>
  <c r="Q512" i="1"/>
  <c r="R511" i="1"/>
  <c r="S511" i="1" s="1"/>
  <c r="Q511" i="1"/>
  <c r="R510" i="1"/>
  <c r="S510" i="1" s="1"/>
  <c r="Q510" i="1"/>
  <c r="R509" i="1"/>
  <c r="S509" i="1" s="1"/>
  <c r="Q509" i="1"/>
  <c r="R508" i="1"/>
  <c r="S508" i="1" s="1"/>
  <c r="Q508" i="1"/>
  <c r="R507" i="1"/>
  <c r="S507" i="1" s="1"/>
  <c r="Q507" i="1"/>
  <c r="R506" i="1"/>
  <c r="S506" i="1" s="1"/>
  <c r="Q506" i="1"/>
  <c r="R505" i="1"/>
  <c r="S505" i="1" s="1"/>
  <c r="Q505" i="1"/>
  <c r="R504" i="1"/>
  <c r="S504" i="1" s="1"/>
  <c r="Q504" i="1"/>
  <c r="R503" i="1"/>
  <c r="S503" i="1" s="1"/>
  <c r="Q503" i="1"/>
  <c r="R502" i="1"/>
  <c r="S502" i="1" s="1"/>
  <c r="Q502" i="1"/>
  <c r="R501" i="1"/>
  <c r="S501" i="1" s="1"/>
  <c r="Q501" i="1"/>
  <c r="R500" i="1"/>
  <c r="S500" i="1" s="1"/>
  <c r="Q500" i="1"/>
  <c r="R499" i="1"/>
  <c r="S499" i="1" s="1"/>
  <c r="Q499" i="1"/>
  <c r="R498" i="1"/>
  <c r="S498" i="1" s="1"/>
  <c r="Q498" i="1"/>
  <c r="R497" i="1"/>
  <c r="S497" i="1" s="1"/>
  <c r="Q497" i="1"/>
  <c r="R496" i="1"/>
  <c r="S496" i="1" s="1"/>
  <c r="Q496" i="1"/>
  <c r="R495" i="1"/>
  <c r="S495" i="1" s="1"/>
  <c r="Q495" i="1"/>
  <c r="R494" i="1"/>
  <c r="S494" i="1" s="1"/>
  <c r="Q494" i="1"/>
  <c r="R493" i="1"/>
  <c r="S493" i="1" s="1"/>
  <c r="Q493" i="1"/>
  <c r="R492" i="1"/>
  <c r="S492" i="1" s="1"/>
  <c r="Q492" i="1"/>
  <c r="R491" i="1"/>
  <c r="S491" i="1" s="1"/>
  <c r="Q491" i="1"/>
  <c r="R490" i="1"/>
  <c r="S490" i="1" s="1"/>
  <c r="Q490" i="1"/>
  <c r="R489" i="1"/>
  <c r="S489" i="1" s="1"/>
  <c r="Q489" i="1"/>
  <c r="R488" i="1"/>
  <c r="S488" i="1" s="1"/>
  <c r="Q488" i="1"/>
  <c r="R487" i="1"/>
  <c r="S487" i="1" s="1"/>
  <c r="Q487" i="1"/>
  <c r="R486" i="1"/>
  <c r="S486" i="1" s="1"/>
  <c r="Q486" i="1"/>
  <c r="R485" i="1"/>
  <c r="S485" i="1" s="1"/>
  <c r="Q485" i="1"/>
  <c r="R484" i="1"/>
  <c r="S484" i="1" s="1"/>
  <c r="Q484" i="1"/>
  <c r="R483" i="1"/>
  <c r="S483" i="1" s="1"/>
  <c r="Q483" i="1"/>
  <c r="R482" i="1"/>
  <c r="S482" i="1" s="1"/>
  <c r="Q482" i="1"/>
  <c r="R481" i="1"/>
  <c r="S481" i="1" s="1"/>
  <c r="Q481" i="1"/>
  <c r="R480" i="1"/>
  <c r="S480" i="1" s="1"/>
  <c r="Q480" i="1"/>
  <c r="R479" i="1"/>
  <c r="S479" i="1" s="1"/>
  <c r="Q479" i="1"/>
  <c r="R478" i="1"/>
  <c r="S478" i="1" s="1"/>
  <c r="Q478" i="1"/>
  <c r="R477" i="1"/>
  <c r="S477" i="1" s="1"/>
  <c r="Q477" i="1"/>
  <c r="R476" i="1"/>
  <c r="S476" i="1" s="1"/>
  <c r="Q476" i="1"/>
  <c r="R475" i="1"/>
  <c r="S475" i="1" s="1"/>
  <c r="Q475" i="1"/>
  <c r="R474" i="1"/>
  <c r="S474" i="1" s="1"/>
  <c r="Q474" i="1"/>
  <c r="R473" i="1"/>
  <c r="S473" i="1" s="1"/>
  <c r="Q473" i="1"/>
  <c r="R472" i="1"/>
  <c r="S472" i="1" s="1"/>
  <c r="Q472" i="1"/>
  <c r="R471" i="1"/>
  <c r="S471" i="1" s="1"/>
  <c r="Q471" i="1"/>
  <c r="R470" i="1"/>
  <c r="S470" i="1" s="1"/>
  <c r="Q470" i="1"/>
  <c r="R469" i="1"/>
  <c r="S469" i="1" s="1"/>
  <c r="Q469" i="1"/>
  <c r="R468" i="1"/>
  <c r="S468" i="1" s="1"/>
  <c r="Q468" i="1"/>
  <c r="R467" i="1"/>
  <c r="S467" i="1" s="1"/>
  <c r="Q467" i="1"/>
  <c r="R466" i="1"/>
  <c r="S466" i="1" s="1"/>
  <c r="Q466" i="1"/>
  <c r="R465" i="1"/>
  <c r="S465" i="1" s="1"/>
  <c r="Q465" i="1"/>
  <c r="R464" i="1"/>
  <c r="S464" i="1" s="1"/>
  <c r="Q464" i="1"/>
  <c r="R463" i="1"/>
  <c r="S463" i="1" s="1"/>
  <c r="Q463" i="1"/>
  <c r="R462" i="1"/>
  <c r="S462" i="1" s="1"/>
  <c r="Q462" i="1"/>
  <c r="R461" i="1"/>
  <c r="S461" i="1" s="1"/>
  <c r="Q461" i="1"/>
  <c r="R460" i="1"/>
  <c r="S460" i="1" s="1"/>
  <c r="Q460" i="1"/>
  <c r="R459" i="1"/>
  <c r="S459" i="1" s="1"/>
  <c r="Q459" i="1"/>
  <c r="R458" i="1"/>
  <c r="S458" i="1" s="1"/>
  <c r="Q458" i="1"/>
  <c r="R457" i="1"/>
  <c r="S457" i="1" s="1"/>
  <c r="Q457" i="1"/>
  <c r="R456" i="1"/>
  <c r="S456" i="1" s="1"/>
  <c r="Q456" i="1"/>
  <c r="R455" i="1"/>
  <c r="S455" i="1" s="1"/>
  <c r="Q455" i="1"/>
  <c r="R454" i="1"/>
  <c r="S454" i="1" s="1"/>
  <c r="Q454" i="1"/>
  <c r="R453" i="1"/>
  <c r="S453" i="1" s="1"/>
  <c r="Q453" i="1"/>
  <c r="R452" i="1"/>
  <c r="S452" i="1" s="1"/>
  <c r="Q452" i="1"/>
  <c r="R451" i="1"/>
  <c r="S451" i="1" s="1"/>
  <c r="Q451" i="1"/>
  <c r="R450" i="1"/>
  <c r="S450" i="1" s="1"/>
  <c r="Q450" i="1"/>
  <c r="R449" i="1"/>
  <c r="S449" i="1" s="1"/>
  <c r="Q449" i="1"/>
  <c r="R448" i="1"/>
  <c r="S448" i="1" s="1"/>
  <c r="Q448" i="1"/>
  <c r="R447" i="1"/>
  <c r="S447" i="1" s="1"/>
  <c r="Q447" i="1"/>
  <c r="R446" i="1"/>
  <c r="S446" i="1" s="1"/>
  <c r="Q446" i="1"/>
  <c r="R445" i="1"/>
  <c r="S445" i="1" s="1"/>
  <c r="Q445" i="1"/>
  <c r="R444" i="1"/>
  <c r="S444" i="1" s="1"/>
  <c r="Q444" i="1"/>
  <c r="R443" i="1"/>
  <c r="S443" i="1" s="1"/>
  <c r="Q443" i="1"/>
  <c r="R442" i="1"/>
  <c r="S442" i="1" s="1"/>
  <c r="Q442" i="1"/>
  <c r="R441" i="1"/>
  <c r="S441" i="1" s="1"/>
  <c r="Q441" i="1"/>
  <c r="R440" i="1"/>
  <c r="S440" i="1" s="1"/>
  <c r="Q440" i="1"/>
  <c r="R439" i="1"/>
  <c r="S439" i="1" s="1"/>
  <c r="Q439" i="1"/>
  <c r="R438" i="1"/>
  <c r="S438" i="1" s="1"/>
  <c r="Q438" i="1"/>
  <c r="R437" i="1"/>
  <c r="S437" i="1" s="1"/>
  <c r="Q437" i="1"/>
  <c r="R436" i="1"/>
  <c r="S436" i="1" s="1"/>
  <c r="Q436" i="1"/>
  <c r="R435" i="1"/>
  <c r="S435" i="1" s="1"/>
  <c r="Q435" i="1"/>
  <c r="R434" i="1"/>
  <c r="S434" i="1" s="1"/>
  <c r="Q434" i="1"/>
  <c r="R433" i="1"/>
  <c r="S433" i="1" s="1"/>
  <c r="Q433" i="1"/>
  <c r="R432" i="1"/>
  <c r="S432" i="1" s="1"/>
  <c r="Q432" i="1"/>
  <c r="R431" i="1"/>
  <c r="S431" i="1" s="1"/>
  <c r="Q431" i="1"/>
  <c r="R430" i="1"/>
  <c r="S430" i="1" s="1"/>
  <c r="Q430" i="1"/>
  <c r="R429" i="1"/>
  <c r="S429" i="1" s="1"/>
  <c r="Q429" i="1"/>
  <c r="R428" i="1"/>
  <c r="S428" i="1" s="1"/>
  <c r="Q428" i="1"/>
  <c r="R427" i="1"/>
  <c r="S427" i="1" s="1"/>
  <c r="Q427" i="1"/>
  <c r="R426" i="1"/>
  <c r="S426" i="1" s="1"/>
  <c r="Q426" i="1"/>
  <c r="R425" i="1"/>
  <c r="S425" i="1" s="1"/>
  <c r="Q425" i="1"/>
  <c r="R424" i="1"/>
  <c r="S424" i="1" s="1"/>
  <c r="Q424" i="1"/>
  <c r="R423" i="1"/>
  <c r="S423" i="1" s="1"/>
  <c r="Q423" i="1"/>
  <c r="R422" i="1"/>
  <c r="S422" i="1" s="1"/>
  <c r="Q422" i="1"/>
  <c r="R421" i="1"/>
  <c r="S421" i="1" s="1"/>
  <c r="Q421" i="1"/>
  <c r="R420" i="1"/>
  <c r="S420" i="1" s="1"/>
  <c r="Q420" i="1"/>
  <c r="O419" i="1"/>
  <c r="R418" i="1"/>
  <c r="S418" i="1" s="1"/>
  <c r="Q418" i="1"/>
  <c r="R417" i="1"/>
  <c r="S417" i="1" s="1"/>
  <c r="Q417" i="1"/>
  <c r="R416" i="1"/>
  <c r="S416" i="1" s="1"/>
  <c r="Q416" i="1"/>
  <c r="R415" i="1"/>
  <c r="S415" i="1" s="1"/>
  <c r="Q415" i="1"/>
  <c r="R414" i="1"/>
  <c r="S414" i="1" s="1"/>
  <c r="Q414" i="1"/>
  <c r="R413" i="1"/>
  <c r="S413" i="1" s="1"/>
  <c r="Q413" i="1"/>
  <c r="R412" i="1"/>
  <c r="S412" i="1" s="1"/>
  <c r="Q412" i="1"/>
  <c r="R411" i="1"/>
  <c r="S411" i="1" s="1"/>
  <c r="Q411" i="1"/>
  <c r="R410" i="1"/>
  <c r="S410" i="1" s="1"/>
  <c r="Q410" i="1"/>
  <c r="R409" i="1"/>
  <c r="S409" i="1" s="1"/>
  <c r="Q409" i="1"/>
  <c r="R408" i="1"/>
  <c r="S408" i="1" s="1"/>
  <c r="Q408" i="1"/>
  <c r="R407" i="1"/>
  <c r="S407" i="1" s="1"/>
  <c r="Q407" i="1"/>
  <c r="R406" i="1"/>
  <c r="S406" i="1" s="1"/>
  <c r="Q406" i="1"/>
  <c r="R405" i="1"/>
  <c r="S405" i="1" s="1"/>
  <c r="Q405" i="1"/>
  <c r="O404" i="1"/>
  <c r="R403" i="1"/>
  <c r="S403" i="1" s="1"/>
  <c r="Q403" i="1"/>
  <c r="R402" i="1"/>
  <c r="S402" i="1" s="1"/>
  <c r="Q402" i="1"/>
  <c r="R401" i="1"/>
  <c r="S401" i="1" s="1"/>
  <c r="Q401" i="1"/>
  <c r="R400" i="1"/>
  <c r="S400" i="1" s="1"/>
  <c r="Q400" i="1"/>
  <c r="R399" i="1"/>
  <c r="S399" i="1" s="1"/>
  <c r="Q399" i="1"/>
  <c r="R398" i="1"/>
  <c r="S398" i="1" s="1"/>
  <c r="Q398" i="1"/>
  <c r="R397" i="1"/>
  <c r="S397" i="1" s="1"/>
  <c r="Q397" i="1"/>
  <c r="R396" i="1"/>
  <c r="S396" i="1" s="1"/>
  <c r="Q396" i="1"/>
  <c r="R395" i="1"/>
  <c r="S395" i="1" s="1"/>
  <c r="Q395" i="1"/>
  <c r="R394" i="1"/>
  <c r="S394" i="1" s="1"/>
  <c r="Q394" i="1"/>
  <c r="R393" i="1"/>
  <c r="S393" i="1" s="1"/>
  <c r="Q393" i="1"/>
  <c r="R392" i="1"/>
  <c r="S392" i="1" s="1"/>
  <c r="Q392" i="1"/>
  <c r="R391" i="1"/>
  <c r="S391" i="1" s="1"/>
  <c r="Q391" i="1"/>
  <c r="R390" i="1"/>
  <c r="S390" i="1" s="1"/>
  <c r="Q390" i="1"/>
  <c r="R389" i="1"/>
  <c r="S389" i="1" s="1"/>
  <c r="Q389" i="1"/>
  <c r="R388" i="1"/>
  <c r="S388" i="1" s="1"/>
  <c r="Q388" i="1"/>
  <c r="R387" i="1"/>
  <c r="S387" i="1" s="1"/>
  <c r="Q387" i="1"/>
  <c r="R386" i="1"/>
  <c r="S386" i="1" s="1"/>
  <c r="Q386" i="1"/>
  <c r="R385" i="1"/>
  <c r="S385" i="1" s="1"/>
  <c r="Q385" i="1"/>
  <c r="R384" i="1"/>
  <c r="S384" i="1" s="1"/>
  <c r="Q384" i="1"/>
  <c r="R383" i="1"/>
  <c r="S383" i="1" s="1"/>
  <c r="Q383" i="1"/>
  <c r="R382" i="1"/>
  <c r="S382" i="1" s="1"/>
  <c r="Q382" i="1"/>
  <c r="R381" i="1"/>
  <c r="S381" i="1" s="1"/>
  <c r="Q381" i="1"/>
  <c r="R380" i="1"/>
  <c r="S380" i="1" s="1"/>
  <c r="Q380" i="1"/>
  <c r="R379" i="1"/>
  <c r="S379" i="1" s="1"/>
  <c r="Q379" i="1"/>
  <c r="R378" i="1"/>
  <c r="S378" i="1" s="1"/>
  <c r="Q378" i="1"/>
  <c r="R377" i="1"/>
  <c r="S377" i="1" s="1"/>
  <c r="Q377" i="1"/>
  <c r="R376" i="1"/>
  <c r="S376" i="1" s="1"/>
  <c r="Q376" i="1"/>
  <c r="R375" i="1"/>
  <c r="S375" i="1" s="1"/>
  <c r="Q375" i="1"/>
  <c r="R374" i="1"/>
  <c r="S374" i="1" s="1"/>
  <c r="Q374" i="1"/>
  <c r="R373" i="1"/>
  <c r="S373" i="1" s="1"/>
  <c r="Q373" i="1"/>
  <c r="R372" i="1"/>
  <c r="S372" i="1" s="1"/>
  <c r="Q372" i="1"/>
  <c r="R371" i="1"/>
  <c r="S371" i="1" s="1"/>
  <c r="Q371" i="1"/>
  <c r="R370" i="1"/>
  <c r="S370" i="1" s="1"/>
  <c r="Q370" i="1"/>
  <c r="R369" i="1"/>
  <c r="S369" i="1" s="1"/>
  <c r="Q369" i="1"/>
  <c r="R368" i="1"/>
  <c r="S368" i="1" s="1"/>
  <c r="Q368" i="1"/>
  <c r="R367" i="1"/>
  <c r="S367" i="1" s="1"/>
  <c r="Q367" i="1"/>
  <c r="R366" i="1"/>
  <c r="S366" i="1" s="1"/>
  <c r="Q366" i="1"/>
  <c r="R365" i="1"/>
  <c r="S365" i="1" s="1"/>
  <c r="Q365" i="1"/>
  <c r="R364" i="1"/>
  <c r="S364" i="1" s="1"/>
  <c r="Q364" i="1"/>
  <c r="R363" i="1"/>
  <c r="S363" i="1" s="1"/>
  <c r="Q363" i="1"/>
  <c r="R362" i="1"/>
  <c r="S362" i="1" s="1"/>
  <c r="Q362" i="1"/>
  <c r="R361" i="1"/>
  <c r="S361" i="1" s="1"/>
  <c r="Q361" i="1"/>
  <c r="R360" i="1"/>
  <c r="S360" i="1" s="1"/>
  <c r="Q360" i="1"/>
  <c r="R359" i="1"/>
  <c r="S359" i="1" s="1"/>
  <c r="Q359" i="1"/>
  <c r="R358" i="1"/>
  <c r="S358" i="1" s="1"/>
  <c r="Q358" i="1"/>
  <c r="R357" i="1"/>
  <c r="S357" i="1" s="1"/>
  <c r="Q357" i="1"/>
  <c r="R356" i="1"/>
  <c r="S356" i="1" s="1"/>
  <c r="Q356" i="1"/>
  <c r="R355" i="1"/>
  <c r="S355" i="1" s="1"/>
  <c r="Q355" i="1"/>
  <c r="R354" i="1"/>
  <c r="S354" i="1" s="1"/>
  <c r="Q354" i="1"/>
  <c r="R353" i="1"/>
  <c r="S353" i="1" s="1"/>
  <c r="Q353" i="1"/>
  <c r="R352" i="1"/>
  <c r="S352" i="1" s="1"/>
  <c r="Q352" i="1"/>
  <c r="R351" i="1"/>
  <c r="S351" i="1" s="1"/>
  <c r="Q351" i="1"/>
  <c r="R350" i="1"/>
  <c r="S350" i="1" s="1"/>
  <c r="Q350" i="1"/>
  <c r="R349" i="1"/>
  <c r="S349" i="1" s="1"/>
  <c r="Q349" i="1"/>
  <c r="R348" i="1"/>
  <c r="S348" i="1" s="1"/>
  <c r="Q348" i="1"/>
  <c r="R347" i="1"/>
  <c r="S347" i="1" s="1"/>
  <c r="Q347" i="1"/>
  <c r="R346" i="1"/>
  <c r="S346" i="1" s="1"/>
  <c r="Q346" i="1"/>
  <c r="R345" i="1"/>
  <c r="S345" i="1" s="1"/>
  <c r="Q345" i="1"/>
  <c r="R344" i="1"/>
  <c r="S344" i="1" s="1"/>
  <c r="Q344" i="1"/>
  <c r="R343" i="1"/>
  <c r="S343" i="1" s="1"/>
  <c r="Q343" i="1"/>
  <c r="S342" i="1"/>
  <c r="R342" i="1"/>
  <c r="Q342" i="1"/>
  <c r="R341" i="1"/>
  <c r="S341" i="1" s="1"/>
  <c r="Q341" i="1"/>
  <c r="R340" i="1"/>
  <c r="S340" i="1" s="1"/>
  <c r="Q340" i="1"/>
  <c r="R339" i="1"/>
  <c r="S339" i="1" s="1"/>
  <c r="Q339" i="1"/>
  <c r="R338" i="1"/>
  <c r="S338" i="1" s="1"/>
  <c r="Q338" i="1"/>
  <c r="R337" i="1"/>
  <c r="S337" i="1" s="1"/>
  <c r="Q337" i="1"/>
  <c r="R336" i="1"/>
  <c r="S336" i="1" s="1"/>
  <c r="Q336" i="1"/>
  <c r="R335" i="1"/>
  <c r="S335" i="1" s="1"/>
  <c r="Q335" i="1"/>
  <c r="R334" i="1"/>
  <c r="S334" i="1" s="1"/>
  <c r="Q334" i="1"/>
  <c r="R333" i="1"/>
  <c r="S333" i="1" s="1"/>
  <c r="Q333" i="1"/>
  <c r="R332" i="1"/>
  <c r="S332" i="1" s="1"/>
  <c r="Q332" i="1"/>
  <c r="R331" i="1"/>
  <c r="S331" i="1" s="1"/>
  <c r="Q331" i="1"/>
  <c r="R330" i="1"/>
  <c r="S330" i="1" s="1"/>
  <c r="Q330" i="1"/>
  <c r="R329" i="1"/>
  <c r="S329" i="1" s="1"/>
  <c r="Q329" i="1"/>
  <c r="R328" i="1"/>
  <c r="S328" i="1" s="1"/>
  <c r="Q328" i="1"/>
  <c r="S327" i="1"/>
  <c r="R327" i="1"/>
  <c r="Q327" i="1"/>
  <c r="R326" i="1"/>
  <c r="S326" i="1" s="1"/>
  <c r="Q326" i="1"/>
  <c r="R325" i="1"/>
  <c r="S325" i="1" s="1"/>
  <c r="Q325" i="1"/>
  <c r="R324" i="1"/>
  <c r="S324" i="1" s="1"/>
  <c r="Q324" i="1"/>
  <c r="R323" i="1"/>
  <c r="S323" i="1" s="1"/>
  <c r="Q323" i="1"/>
  <c r="R322" i="1"/>
  <c r="S322" i="1" s="1"/>
  <c r="Q322" i="1"/>
  <c r="R321" i="1"/>
  <c r="S321" i="1" s="1"/>
  <c r="Q321" i="1"/>
  <c r="R320" i="1"/>
  <c r="S320" i="1" s="1"/>
  <c r="Q320" i="1"/>
  <c r="R319" i="1"/>
  <c r="S319" i="1" s="1"/>
  <c r="Q319" i="1"/>
  <c r="R318" i="1"/>
  <c r="S318" i="1" s="1"/>
  <c r="Q318" i="1"/>
  <c r="R317" i="1"/>
  <c r="S317" i="1" s="1"/>
  <c r="Q317" i="1"/>
  <c r="R316" i="1"/>
  <c r="S316" i="1" s="1"/>
  <c r="Q316" i="1"/>
  <c r="R315" i="1"/>
  <c r="S315" i="1" s="1"/>
  <c r="Q315" i="1"/>
  <c r="R314" i="1"/>
  <c r="S314" i="1" s="1"/>
  <c r="Q314" i="1"/>
  <c r="R313" i="1"/>
  <c r="S313" i="1" s="1"/>
  <c r="Q313" i="1"/>
  <c r="R312" i="1"/>
  <c r="S312" i="1" s="1"/>
  <c r="Q312" i="1"/>
  <c r="R311" i="1"/>
  <c r="S311" i="1" s="1"/>
  <c r="Q311" i="1"/>
  <c r="R310" i="1"/>
  <c r="S310" i="1" s="1"/>
  <c r="Q310" i="1"/>
  <c r="R309" i="1"/>
  <c r="S309" i="1" s="1"/>
  <c r="Q309" i="1"/>
  <c r="R308" i="1"/>
  <c r="S308" i="1" s="1"/>
  <c r="Q308" i="1"/>
  <c r="R307" i="1"/>
  <c r="S307" i="1" s="1"/>
  <c r="Q307" i="1"/>
  <c r="R306" i="1"/>
  <c r="S306" i="1" s="1"/>
  <c r="Q306" i="1"/>
  <c r="R305" i="1"/>
  <c r="S305" i="1" s="1"/>
  <c r="Q305" i="1"/>
  <c r="R304" i="1"/>
  <c r="S304" i="1" s="1"/>
  <c r="Q304" i="1"/>
  <c r="R303" i="1"/>
  <c r="S303" i="1" s="1"/>
  <c r="Q303" i="1"/>
  <c r="R302" i="1"/>
  <c r="S302" i="1" s="1"/>
  <c r="Q302" i="1"/>
  <c r="R301" i="1"/>
  <c r="S301" i="1" s="1"/>
  <c r="Q301" i="1"/>
  <c r="R300" i="1"/>
  <c r="S300" i="1" s="1"/>
  <c r="Q300" i="1"/>
  <c r="R299" i="1"/>
  <c r="S299" i="1" s="1"/>
  <c r="Q299" i="1"/>
  <c r="R298" i="1"/>
  <c r="S298" i="1" s="1"/>
  <c r="Q298" i="1"/>
  <c r="R297" i="1"/>
  <c r="S297" i="1" s="1"/>
  <c r="Q297" i="1"/>
  <c r="R296" i="1"/>
  <c r="S296" i="1" s="1"/>
  <c r="Q296" i="1"/>
  <c r="R295" i="1"/>
  <c r="S295" i="1" s="1"/>
  <c r="Q295" i="1"/>
  <c r="R294" i="1"/>
  <c r="S294" i="1" s="1"/>
  <c r="Q294" i="1"/>
  <c r="R293" i="1"/>
  <c r="S293" i="1" s="1"/>
  <c r="Q293" i="1"/>
  <c r="R292" i="1"/>
  <c r="S292" i="1" s="1"/>
  <c r="Q292" i="1"/>
  <c r="R291" i="1"/>
  <c r="S291" i="1" s="1"/>
  <c r="Q291" i="1"/>
  <c r="R290" i="1"/>
  <c r="S290" i="1" s="1"/>
  <c r="Q290" i="1"/>
  <c r="R289" i="1"/>
  <c r="S289" i="1" s="1"/>
  <c r="Q289" i="1"/>
  <c r="R288" i="1"/>
  <c r="S288" i="1" s="1"/>
  <c r="Q288" i="1"/>
  <c r="R287" i="1"/>
  <c r="S287" i="1" s="1"/>
  <c r="Q287" i="1"/>
  <c r="R286" i="1"/>
  <c r="S286" i="1" s="1"/>
  <c r="Q286" i="1"/>
  <c r="R285" i="1"/>
  <c r="S285" i="1" s="1"/>
  <c r="Q285" i="1"/>
  <c r="R284" i="1"/>
  <c r="S284" i="1" s="1"/>
  <c r="Q284" i="1"/>
  <c r="R283" i="1"/>
  <c r="S283" i="1" s="1"/>
  <c r="Q283" i="1"/>
  <c r="R282" i="1"/>
  <c r="S282" i="1" s="1"/>
  <c r="Q282" i="1"/>
  <c r="R281" i="1"/>
  <c r="S281" i="1" s="1"/>
  <c r="Q281" i="1"/>
  <c r="R280" i="1"/>
  <c r="S280" i="1" s="1"/>
  <c r="Q280" i="1"/>
  <c r="R279" i="1"/>
  <c r="S279" i="1" s="1"/>
  <c r="Q279" i="1"/>
  <c r="R278" i="1"/>
  <c r="S278" i="1" s="1"/>
  <c r="Q278" i="1"/>
  <c r="R277" i="1"/>
  <c r="S277" i="1" s="1"/>
  <c r="Q277" i="1"/>
  <c r="R276" i="1"/>
  <c r="S276" i="1" s="1"/>
  <c r="Q276" i="1"/>
  <c r="R275" i="1"/>
  <c r="S275" i="1" s="1"/>
  <c r="Q275" i="1"/>
  <c r="R274" i="1"/>
  <c r="S274" i="1" s="1"/>
  <c r="Q274" i="1"/>
  <c r="R273" i="1"/>
  <c r="S273" i="1" s="1"/>
  <c r="Q273" i="1"/>
  <c r="R272" i="1"/>
  <c r="S272" i="1" s="1"/>
  <c r="Q272" i="1"/>
  <c r="R271" i="1"/>
  <c r="S271" i="1" s="1"/>
  <c r="Q271" i="1"/>
  <c r="R270" i="1"/>
  <c r="S270" i="1" s="1"/>
  <c r="Q270" i="1"/>
  <c r="R269" i="1"/>
  <c r="S269" i="1" s="1"/>
  <c r="Q269" i="1"/>
  <c r="R268" i="1"/>
  <c r="S268" i="1" s="1"/>
  <c r="Q268" i="1"/>
  <c r="R267" i="1"/>
  <c r="S267" i="1" s="1"/>
  <c r="Q267" i="1"/>
  <c r="R266" i="1"/>
  <c r="S266" i="1" s="1"/>
  <c r="Q266" i="1"/>
  <c r="R265" i="1"/>
  <c r="S265" i="1" s="1"/>
  <c r="Q265" i="1"/>
  <c r="R264" i="1"/>
  <c r="S264" i="1" s="1"/>
  <c r="Q264" i="1"/>
  <c r="R263" i="1"/>
  <c r="S263" i="1" s="1"/>
  <c r="Q263" i="1"/>
  <c r="R262" i="1"/>
  <c r="S262" i="1" s="1"/>
  <c r="Q262" i="1"/>
  <c r="R261" i="1"/>
  <c r="S261" i="1" s="1"/>
  <c r="Q261" i="1"/>
  <c r="R260" i="1"/>
  <c r="S260" i="1" s="1"/>
  <c r="Q260" i="1"/>
  <c r="R259" i="1"/>
  <c r="S259" i="1" s="1"/>
  <c r="Q259" i="1"/>
  <c r="R258" i="1"/>
  <c r="S258" i="1" s="1"/>
  <c r="Q258" i="1"/>
  <c r="R257" i="1"/>
  <c r="S257" i="1" s="1"/>
  <c r="Q257" i="1"/>
  <c r="R256" i="1"/>
  <c r="S256" i="1" s="1"/>
  <c r="Q256" i="1"/>
  <c r="R255" i="1"/>
  <c r="S255" i="1" s="1"/>
  <c r="Q255" i="1"/>
  <c r="R254" i="1"/>
  <c r="S254" i="1" s="1"/>
  <c r="Q254" i="1"/>
  <c r="R253" i="1"/>
  <c r="S253" i="1" s="1"/>
  <c r="Q253" i="1"/>
  <c r="R252" i="1"/>
  <c r="S252" i="1" s="1"/>
  <c r="Q252" i="1"/>
  <c r="R251" i="1"/>
  <c r="S251" i="1" s="1"/>
  <c r="Q251" i="1"/>
  <c r="R250" i="1"/>
  <c r="S250" i="1" s="1"/>
  <c r="Q250" i="1"/>
  <c r="R249" i="1"/>
  <c r="S249" i="1" s="1"/>
  <c r="Q249" i="1"/>
  <c r="R248" i="1"/>
  <c r="S248" i="1" s="1"/>
  <c r="Q248" i="1"/>
  <c r="R247" i="1"/>
  <c r="S247" i="1" s="1"/>
  <c r="Q247" i="1"/>
  <c r="R246" i="1"/>
  <c r="S246" i="1" s="1"/>
  <c r="Q246" i="1"/>
  <c r="R245" i="1"/>
  <c r="S245" i="1" s="1"/>
  <c r="Q245" i="1"/>
  <c r="R244" i="1"/>
  <c r="S244" i="1" s="1"/>
  <c r="Q244" i="1"/>
  <c r="R243" i="1"/>
  <c r="S243" i="1" s="1"/>
  <c r="Q243" i="1"/>
  <c r="R242" i="1"/>
  <c r="S242" i="1" s="1"/>
  <c r="Q242" i="1"/>
  <c r="R241" i="1"/>
  <c r="S241" i="1" s="1"/>
  <c r="Q241" i="1"/>
  <c r="R240" i="1"/>
  <c r="S240" i="1" s="1"/>
  <c r="Q240" i="1"/>
  <c r="R239" i="1"/>
  <c r="S239" i="1" s="1"/>
  <c r="Q239" i="1"/>
  <c r="R238" i="1"/>
  <c r="S238" i="1" s="1"/>
  <c r="Q238" i="1"/>
  <c r="R237" i="1"/>
  <c r="S237" i="1" s="1"/>
  <c r="Q237" i="1"/>
  <c r="R236" i="1"/>
  <c r="S236" i="1" s="1"/>
  <c r="Q236" i="1"/>
  <c r="R235" i="1"/>
  <c r="S235" i="1" s="1"/>
  <c r="Q235" i="1"/>
  <c r="R234" i="1"/>
  <c r="S234" i="1" s="1"/>
  <c r="Q234" i="1"/>
  <c r="R233" i="1"/>
  <c r="S233" i="1" s="1"/>
  <c r="Q233" i="1"/>
  <c r="R232" i="1"/>
  <c r="S232" i="1" s="1"/>
  <c r="Q232" i="1"/>
  <c r="R231" i="1"/>
  <c r="S231" i="1" s="1"/>
  <c r="Q231" i="1"/>
  <c r="R230" i="1"/>
  <c r="S230" i="1" s="1"/>
  <c r="Q230" i="1"/>
  <c r="R229" i="1"/>
  <c r="S229" i="1" s="1"/>
  <c r="Q229" i="1"/>
  <c r="R228" i="1"/>
  <c r="S228" i="1" s="1"/>
  <c r="Q228" i="1"/>
  <c r="R227" i="1"/>
  <c r="S227" i="1" s="1"/>
  <c r="Q227" i="1"/>
  <c r="R226" i="1"/>
  <c r="S226" i="1" s="1"/>
  <c r="Q226" i="1"/>
  <c r="R225" i="1"/>
  <c r="S225" i="1" s="1"/>
  <c r="Q225" i="1"/>
  <c r="R224" i="1"/>
  <c r="S224" i="1" s="1"/>
  <c r="Q224" i="1"/>
  <c r="R223" i="1"/>
  <c r="S223" i="1" s="1"/>
  <c r="Q223" i="1"/>
  <c r="R222" i="1"/>
  <c r="S222" i="1" s="1"/>
  <c r="Q222" i="1"/>
  <c r="R221" i="1"/>
  <c r="S221" i="1" s="1"/>
  <c r="Q221" i="1"/>
  <c r="R220" i="1"/>
  <c r="S220" i="1" s="1"/>
  <c r="Q220" i="1"/>
  <c r="R219" i="1"/>
  <c r="S219" i="1" s="1"/>
  <c r="Q219" i="1"/>
  <c r="R218" i="1"/>
  <c r="S218" i="1" s="1"/>
  <c r="Q218" i="1"/>
  <c r="R217" i="1"/>
  <c r="S217" i="1" s="1"/>
  <c r="Q217" i="1"/>
  <c r="R216" i="1"/>
  <c r="S216" i="1" s="1"/>
  <c r="Q216" i="1"/>
  <c r="R215" i="1"/>
  <c r="S215" i="1" s="1"/>
  <c r="Q215" i="1"/>
  <c r="R214" i="1"/>
  <c r="S214" i="1" s="1"/>
  <c r="Q214" i="1"/>
  <c r="R213" i="1"/>
  <c r="S213" i="1" s="1"/>
  <c r="Q213" i="1"/>
  <c r="R212" i="1"/>
  <c r="S212" i="1" s="1"/>
  <c r="Q212" i="1"/>
  <c r="R211" i="1"/>
  <c r="S211" i="1" s="1"/>
  <c r="Q211" i="1"/>
  <c r="R210" i="1"/>
  <c r="S210" i="1" s="1"/>
  <c r="Q210" i="1"/>
  <c r="R209" i="1"/>
  <c r="S209" i="1" s="1"/>
  <c r="Q209" i="1"/>
  <c r="R208" i="1"/>
  <c r="S208" i="1" s="1"/>
  <c r="Q208" i="1"/>
  <c r="R207" i="1"/>
  <c r="S207" i="1" s="1"/>
  <c r="Q207" i="1"/>
  <c r="R206" i="1"/>
  <c r="S206" i="1" s="1"/>
  <c r="Q206" i="1"/>
  <c r="R205" i="1"/>
  <c r="S205" i="1" s="1"/>
  <c r="Q205" i="1"/>
  <c r="R204" i="1"/>
  <c r="S204" i="1" s="1"/>
  <c r="Q204" i="1"/>
  <c r="R203" i="1"/>
  <c r="S203" i="1" s="1"/>
  <c r="Q203" i="1"/>
  <c r="R202" i="1"/>
  <c r="S202" i="1" s="1"/>
  <c r="Q202" i="1"/>
  <c r="R201" i="1"/>
  <c r="S201" i="1" s="1"/>
  <c r="Q201" i="1"/>
  <c r="R200" i="1"/>
  <c r="S200" i="1" s="1"/>
  <c r="Q200" i="1"/>
  <c r="R199" i="1"/>
  <c r="S199" i="1" s="1"/>
  <c r="Q199" i="1"/>
  <c r="R198" i="1"/>
  <c r="S198" i="1" s="1"/>
  <c r="Q198" i="1"/>
  <c r="R197" i="1"/>
  <c r="S197" i="1" s="1"/>
  <c r="Q197" i="1"/>
  <c r="R196" i="1"/>
  <c r="S196" i="1" s="1"/>
  <c r="Q196" i="1"/>
  <c r="R195" i="1"/>
  <c r="S195" i="1" s="1"/>
  <c r="Q195" i="1"/>
  <c r="R194" i="1"/>
  <c r="S194" i="1" s="1"/>
  <c r="Q194" i="1"/>
  <c r="R193" i="1"/>
  <c r="S193" i="1" s="1"/>
  <c r="Q193" i="1"/>
  <c r="R192" i="1"/>
  <c r="S192" i="1" s="1"/>
  <c r="Q192" i="1"/>
  <c r="R191" i="1"/>
  <c r="S191" i="1" s="1"/>
  <c r="Q191" i="1"/>
  <c r="R190" i="1"/>
  <c r="S190" i="1" s="1"/>
  <c r="Q190" i="1"/>
  <c r="R189" i="1"/>
  <c r="S189" i="1" s="1"/>
  <c r="Q189" i="1"/>
  <c r="R188" i="1"/>
  <c r="S188" i="1" s="1"/>
  <c r="Q188" i="1"/>
  <c r="R187" i="1"/>
  <c r="S187" i="1" s="1"/>
  <c r="Q187" i="1"/>
  <c r="R186" i="1"/>
  <c r="S186" i="1" s="1"/>
  <c r="Q186" i="1"/>
  <c r="R185" i="1"/>
  <c r="S185" i="1" s="1"/>
  <c r="Q185" i="1"/>
  <c r="R184" i="1"/>
  <c r="S184" i="1" s="1"/>
  <c r="Q184" i="1"/>
  <c r="R183" i="1"/>
  <c r="S183" i="1" s="1"/>
  <c r="Q183" i="1"/>
  <c r="R182" i="1"/>
  <c r="S182" i="1" s="1"/>
  <c r="Q182" i="1"/>
  <c r="R181" i="1"/>
  <c r="S181" i="1" s="1"/>
  <c r="Q181" i="1"/>
  <c r="R180" i="1"/>
  <c r="S180" i="1" s="1"/>
  <c r="Q180" i="1"/>
  <c r="R179" i="1"/>
  <c r="S179" i="1" s="1"/>
  <c r="Q179" i="1"/>
  <c r="R178" i="1"/>
  <c r="S178" i="1" s="1"/>
  <c r="Q178" i="1"/>
  <c r="R177" i="1"/>
  <c r="S177" i="1" s="1"/>
  <c r="Q177" i="1"/>
  <c r="R176" i="1"/>
  <c r="S176" i="1" s="1"/>
  <c r="Q176" i="1"/>
  <c r="R175" i="1"/>
  <c r="S175" i="1" s="1"/>
  <c r="Q175" i="1"/>
  <c r="R174" i="1"/>
  <c r="S174" i="1" s="1"/>
  <c r="Q174" i="1"/>
  <c r="R173" i="1"/>
  <c r="S173" i="1" s="1"/>
  <c r="Q173" i="1"/>
  <c r="R172" i="1"/>
  <c r="S172" i="1" s="1"/>
  <c r="Q172" i="1"/>
  <c r="R171" i="1"/>
  <c r="S171" i="1" s="1"/>
  <c r="Q171" i="1"/>
  <c r="R170" i="1"/>
  <c r="S170" i="1" s="1"/>
  <c r="Q170" i="1"/>
  <c r="R169" i="1"/>
  <c r="S169" i="1" s="1"/>
  <c r="Q169" i="1"/>
  <c r="R168" i="1"/>
  <c r="S168" i="1" s="1"/>
  <c r="Q168" i="1"/>
  <c r="R167" i="1"/>
  <c r="S167" i="1" s="1"/>
  <c r="Q167" i="1"/>
  <c r="R166" i="1"/>
  <c r="S166" i="1" s="1"/>
  <c r="Q166" i="1"/>
  <c r="R165" i="1"/>
  <c r="S165" i="1" s="1"/>
  <c r="Q165" i="1"/>
  <c r="R164" i="1"/>
  <c r="S164" i="1" s="1"/>
  <c r="Q164" i="1"/>
  <c r="R163" i="1"/>
  <c r="S163" i="1" s="1"/>
  <c r="Q163" i="1"/>
  <c r="R162" i="1"/>
  <c r="S162" i="1" s="1"/>
  <c r="Q162" i="1"/>
  <c r="R161" i="1"/>
  <c r="S161" i="1" s="1"/>
  <c r="Q161" i="1"/>
  <c r="R160" i="1"/>
  <c r="S160" i="1" s="1"/>
  <c r="Q160" i="1"/>
  <c r="R159" i="1"/>
  <c r="S159" i="1" s="1"/>
  <c r="Q159" i="1"/>
  <c r="R158" i="1"/>
  <c r="S158" i="1" s="1"/>
  <c r="Q158" i="1"/>
  <c r="R157" i="1"/>
  <c r="S157" i="1" s="1"/>
  <c r="Q157" i="1"/>
  <c r="R156" i="1"/>
  <c r="S156" i="1" s="1"/>
  <c r="Q156" i="1"/>
  <c r="R155" i="1"/>
  <c r="S155" i="1" s="1"/>
  <c r="Q155" i="1"/>
  <c r="R154" i="1"/>
  <c r="S154" i="1" s="1"/>
  <c r="Q154" i="1"/>
  <c r="R153" i="1"/>
  <c r="S153" i="1" s="1"/>
  <c r="Q153" i="1"/>
  <c r="R152" i="1"/>
  <c r="S152" i="1" s="1"/>
  <c r="Q152" i="1"/>
  <c r="R151" i="1"/>
  <c r="S151" i="1" s="1"/>
  <c r="Q151" i="1"/>
  <c r="R150" i="1"/>
  <c r="S150" i="1" s="1"/>
  <c r="Q150" i="1"/>
  <c r="R149" i="1"/>
  <c r="S149" i="1" s="1"/>
  <c r="Q149" i="1"/>
  <c r="R148" i="1"/>
  <c r="S148" i="1" s="1"/>
  <c r="Q148" i="1"/>
  <c r="R147" i="1"/>
  <c r="S147" i="1" s="1"/>
  <c r="Q147" i="1"/>
  <c r="R146" i="1"/>
  <c r="S146" i="1" s="1"/>
  <c r="Q146" i="1"/>
  <c r="R145" i="1"/>
  <c r="S145" i="1" s="1"/>
  <c r="Q145" i="1"/>
  <c r="R144" i="1"/>
  <c r="S144" i="1" s="1"/>
  <c r="Q144" i="1"/>
  <c r="R143" i="1"/>
  <c r="S143" i="1" s="1"/>
  <c r="Q143" i="1"/>
  <c r="R142" i="1"/>
  <c r="S142" i="1" s="1"/>
  <c r="Q142" i="1"/>
  <c r="R141" i="1"/>
  <c r="S141" i="1" s="1"/>
  <c r="Q141" i="1"/>
  <c r="R140" i="1"/>
  <c r="S140" i="1" s="1"/>
  <c r="Q140" i="1"/>
  <c r="R139" i="1"/>
  <c r="S139" i="1" s="1"/>
  <c r="Q139" i="1"/>
  <c r="R138" i="1"/>
  <c r="S138" i="1" s="1"/>
  <c r="Q138" i="1"/>
  <c r="R137" i="1"/>
  <c r="S137" i="1" s="1"/>
  <c r="Q137" i="1"/>
  <c r="R136" i="1"/>
  <c r="S136" i="1" s="1"/>
  <c r="Q136" i="1"/>
  <c r="R135" i="1"/>
  <c r="S135" i="1" s="1"/>
  <c r="Q135" i="1"/>
  <c r="R134" i="1"/>
  <c r="S134" i="1" s="1"/>
  <c r="Q134" i="1"/>
  <c r="R133" i="1"/>
  <c r="S133" i="1" s="1"/>
  <c r="Q133" i="1"/>
  <c r="R132" i="1"/>
  <c r="S132" i="1" s="1"/>
  <c r="Q132" i="1"/>
  <c r="R131" i="1"/>
  <c r="S131" i="1" s="1"/>
  <c r="Q131" i="1"/>
  <c r="R130" i="1"/>
  <c r="S130" i="1" s="1"/>
  <c r="Q130" i="1"/>
  <c r="R129" i="1"/>
  <c r="S129" i="1" s="1"/>
  <c r="Q129" i="1"/>
  <c r="R128" i="1"/>
  <c r="S128" i="1" s="1"/>
  <c r="Q128" i="1"/>
  <c r="R127" i="1"/>
  <c r="S127" i="1" s="1"/>
  <c r="Q127" i="1"/>
  <c r="R126" i="1"/>
  <c r="S126" i="1" s="1"/>
  <c r="Q126" i="1"/>
  <c r="R125" i="1"/>
  <c r="S125" i="1" s="1"/>
  <c r="Q125" i="1"/>
  <c r="R124" i="1"/>
  <c r="S124" i="1" s="1"/>
  <c r="Q124" i="1"/>
  <c r="R123" i="1"/>
  <c r="S123" i="1" s="1"/>
  <c r="Q123" i="1"/>
  <c r="R122" i="1"/>
  <c r="S122" i="1" s="1"/>
  <c r="Q122" i="1"/>
  <c r="R121" i="1"/>
  <c r="S121" i="1" s="1"/>
  <c r="Q121" i="1"/>
  <c r="R120" i="1"/>
  <c r="S120" i="1" s="1"/>
  <c r="Q120" i="1"/>
  <c r="R119" i="1"/>
  <c r="S119" i="1" s="1"/>
  <c r="Q119" i="1"/>
  <c r="R118" i="1"/>
  <c r="S118" i="1" s="1"/>
  <c r="Q118" i="1"/>
  <c r="R117" i="1"/>
  <c r="S117" i="1" s="1"/>
  <c r="Q117" i="1"/>
  <c r="R116" i="1"/>
  <c r="S116" i="1" s="1"/>
  <c r="Q116" i="1"/>
  <c r="R115" i="1"/>
  <c r="S115" i="1" s="1"/>
  <c r="Q115" i="1"/>
  <c r="R114" i="1"/>
  <c r="S114" i="1" s="1"/>
  <c r="Q114" i="1"/>
  <c r="R113" i="1"/>
  <c r="S113" i="1" s="1"/>
  <c r="Q113" i="1"/>
  <c r="R112" i="1"/>
  <c r="S112" i="1" s="1"/>
  <c r="Q112" i="1"/>
  <c r="R111" i="1"/>
  <c r="S111" i="1" s="1"/>
  <c r="Q111" i="1"/>
  <c r="R110" i="1"/>
  <c r="S110" i="1" s="1"/>
  <c r="Q110" i="1"/>
  <c r="R109" i="1"/>
  <c r="S109" i="1" s="1"/>
  <c r="Q109" i="1"/>
  <c r="R108" i="1"/>
  <c r="S108" i="1" s="1"/>
  <c r="Q108" i="1"/>
  <c r="R107" i="1"/>
  <c r="S107" i="1" s="1"/>
  <c r="Q107" i="1"/>
  <c r="R106" i="1"/>
  <c r="S106" i="1" s="1"/>
  <c r="Q106" i="1"/>
  <c r="R105" i="1"/>
  <c r="S105" i="1" s="1"/>
  <c r="Q105" i="1"/>
  <c r="R104" i="1"/>
  <c r="S104" i="1" s="1"/>
  <c r="Q104" i="1"/>
  <c r="R103" i="1"/>
  <c r="S103" i="1" s="1"/>
  <c r="Q103" i="1"/>
  <c r="R102" i="1"/>
  <c r="S102" i="1" s="1"/>
  <c r="Q102" i="1"/>
  <c r="R101" i="1"/>
  <c r="S101" i="1" s="1"/>
  <c r="Q101" i="1"/>
  <c r="R100" i="1"/>
  <c r="S100" i="1" s="1"/>
  <c r="Q100" i="1"/>
  <c r="S99" i="1"/>
  <c r="R99" i="1"/>
  <c r="Q99" i="1"/>
  <c r="R98" i="1"/>
  <c r="S98" i="1" s="1"/>
  <c r="Q98" i="1"/>
  <c r="R97" i="1"/>
  <c r="S97" i="1" s="1"/>
  <c r="Q97" i="1"/>
  <c r="R96" i="1"/>
  <c r="S96" i="1" s="1"/>
  <c r="Q96" i="1"/>
  <c r="R95" i="1"/>
  <c r="S95" i="1" s="1"/>
  <c r="Q95" i="1"/>
  <c r="R94" i="1"/>
  <c r="S94" i="1" s="1"/>
  <c r="Q94" i="1"/>
  <c r="R93" i="1"/>
  <c r="S93" i="1" s="1"/>
  <c r="Q93" i="1"/>
  <c r="R92" i="1"/>
  <c r="S92" i="1" s="1"/>
  <c r="Q92" i="1"/>
  <c r="R91" i="1"/>
  <c r="S91" i="1" s="1"/>
  <c r="Q91" i="1"/>
  <c r="R90" i="1"/>
  <c r="S90" i="1" s="1"/>
  <c r="Q90" i="1"/>
  <c r="R89" i="1"/>
  <c r="S89" i="1" s="1"/>
  <c r="Q89" i="1"/>
  <c r="R88" i="1"/>
  <c r="S88" i="1" s="1"/>
  <c r="Q88" i="1"/>
  <c r="R87" i="1"/>
  <c r="S87" i="1" s="1"/>
  <c r="Q87" i="1"/>
  <c r="R86" i="1"/>
  <c r="S86" i="1" s="1"/>
  <c r="Q86" i="1"/>
  <c r="R85" i="1"/>
  <c r="S85" i="1" s="1"/>
  <c r="Q85" i="1"/>
  <c r="R84" i="1"/>
  <c r="S84" i="1" s="1"/>
  <c r="Q84" i="1"/>
  <c r="R83" i="1"/>
  <c r="S83" i="1" s="1"/>
  <c r="Q83" i="1"/>
  <c r="R82" i="1"/>
  <c r="S82" i="1" s="1"/>
  <c r="Q82" i="1"/>
  <c r="R81" i="1"/>
  <c r="S81" i="1" s="1"/>
  <c r="Q81" i="1"/>
  <c r="R80" i="1"/>
  <c r="S80" i="1" s="1"/>
  <c r="Q80" i="1"/>
  <c r="R79" i="1"/>
  <c r="S79" i="1" s="1"/>
  <c r="Q79" i="1"/>
  <c r="R78" i="1"/>
  <c r="S78" i="1" s="1"/>
  <c r="Q78" i="1"/>
  <c r="R77" i="1"/>
  <c r="S77" i="1" s="1"/>
  <c r="Q77" i="1"/>
  <c r="R76" i="1"/>
  <c r="S76" i="1" s="1"/>
  <c r="Q76" i="1"/>
  <c r="R75" i="1"/>
  <c r="S75" i="1" s="1"/>
  <c r="Q75" i="1"/>
  <c r="R74" i="1"/>
  <c r="S74" i="1" s="1"/>
  <c r="Q74" i="1"/>
  <c r="R73" i="1"/>
  <c r="S73" i="1" s="1"/>
  <c r="Q73" i="1"/>
  <c r="R72" i="1"/>
  <c r="S72" i="1" s="1"/>
  <c r="Q72" i="1"/>
  <c r="R71" i="1"/>
  <c r="S71" i="1" s="1"/>
  <c r="Q71" i="1"/>
  <c r="R70" i="1"/>
  <c r="S70" i="1" s="1"/>
  <c r="Q70" i="1"/>
  <c r="R69" i="1"/>
  <c r="S69" i="1" s="1"/>
  <c r="Q69" i="1"/>
  <c r="R68" i="1"/>
  <c r="S68" i="1" s="1"/>
  <c r="Q68" i="1"/>
  <c r="R67" i="1"/>
  <c r="S67" i="1" s="1"/>
  <c r="Q67" i="1"/>
  <c r="R66" i="1"/>
  <c r="S66" i="1" s="1"/>
  <c r="Q66" i="1"/>
  <c r="R65" i="1"/>
  <c r="S65" i="1" s="1"/>
  <c r="Q65" i="1"/>
  <c r="R64" i="1"/>
  <c r="S64" i="1" s="1"/>
  <c r="Q64" i="1"/>
  <c r="R63" i="1"/>
  <c r="S63" i="1" s="1"/>
  <c r="Q63" i="1"/>
  <c r="R62" i="1"/>
  <c r="S62" i="1" s="1"/>
  <c r="Q62" i="1"/>
  <c r="R61" i="1"/>
  <c r="S61" i="1" s="1"/>
  <c r="Q61" i="1"/>
  <c r="R60" i="1"/>
  <c r="S60" i="1" s="1"/>
  <c r="Q60" i="1"/>
  <c r="R59" i="1"/>
  <c r="S59" i="1" s="1"/>
  <c r="Q59" i="1"/>
  <c r="R58" i="1"/>
  <c r="S58" i="1" s="1"/>
  <c r="Q58" i="1"/>
  <c r="R57" i="1"/>
  <c r="S57" i="1" s="1"/>
  <c r="Q57" i="1"/>
  <c r="R56" i="1"/>
  <c r="S56" i="1" s="1"/>
  <c r="Q56" i="1"/>
  <c r="R55" i="1"/>
  <c r="S55" i="1" s="1"/>
  <c r="Q55" i="1"/>
  <c r="R54" i="1"/>
  <c r="S54" i="1" s="1"/>
  <c r="Q54" i="1"/>
  <c r="R53" i="1"/>
  <c r="S53" i="1" s="1"/>
  <c r="Q53" i="1"/>
  <c r="R52" i="1"/>
  <c r="S52" i="1" s="1"/>
  <c r="Q52" i="1"/>
  <c r="R51" i="1"/>
  <c r="S51" i="1" s="1"/>
  <c r="Q51" i="1"/>
  <c r="R50" i="1"/>
  <c r="S50" i="1" s="1"/>
  <c r="Q50" i="1"/>
  <c r="R49" i="1"/>
  <c r="S49" i="1" s="1"/>
  <c r="Q49" i="1"/>
  <c r="R48" i="1"/>
  <c r="S48" i="1" s="1"/>
  <c r="Q48" i="1"/>
  <c r="R47" i="1"/>
  <c r="S47" i="1" s="1"/>
  <c r="Q47" i="1"/>
  <c r="R46" i="1"/>
  <c r="S46" i="1" s="1"/>
  <c r="Q46" i="1"/>
  <c r="R45" i="1"/>
  <c r="S45" i="1" s="1"/>
  <c r="Q45" i="1"/>
  <c r="R44" i="1"/>
  <c r="S44" i="1" s="1"/>
  <c r="Q44" i="1"/>
  <c r="R43" i="1"/>
  <c r="S43" i="1" s="1"/>
  <c r="Q43" i="1"/>
  <c r="R42" i="1"/>
  <c r="S42" i="1" s="1"/>
  <c r="Q42" i="1"/>
  <c r="R41" i="1"/>
  <c r="S41" i="1" s="1"/>
  <c r="Q41" i="1"/>
  <c r="R40" i="1"/>
  <c r="S40" i="1" s="1"/>
  <c r="Q40" i="1"/>
  <c r="R39" i="1"/>
  <c r="S39" i="1" s="1"/>
  <c r="Q39" i="1"/>
  <c r="R38" i="1"/>
  <c r="S38" i="1" s="1"/>
  <c r="Q38" i="1"/>
  <c r="R37" i="1"/>
  <c r="S37" i="1" s="1"/>
  <c r="Q37" i="1"/>
  <c r="R36" i="1"/>
  <c r="S36" i="1" s="1"/>
  <c r="Q36" i="1"/>
  <c r="R35" i="1"/>
  <c r="S35" i="1" s="1"/>
  <c r="Q35" i="1"/>
  <c r="R34" i="1"/>
  <c r="S34" i="1" s="1"/>
  <c r="Q34" i="1"/>
  <c r="R33" i="1"/>
  <c r="S33" i="1" s="1"/>
  <c r="Q33" i="1"/>
  <c r="R32" i="1"/>
  <c r="S32" i="1" s="1"/>
  <c r="Q32" i="1"/>
  <c r="R31" i="1"/>
  <c r="S31" i="1" s="1"/>
  <c r="Q31" i="1"/>
  <c r="R30" i="1"/>
  <c r="S30" i="1" s="1"/>
  <c r="Q30" i="1"/>
  <c r="R29" i="1"/>
  <c r="S29" i="1" s="1"/>
  <c r="Q29" i="1"/>
  <c r="R28" i="1"/>
  <c r="S28" i="1" s="1"/>
  <c r="Q28" i="1"/>
  <c r="R27" i="1"/>
  <c r="S27" i="1" s="1"/>
  <c r="Q27" i="1"/>
  <c r="R26" i="1"/>
  <c r="S26" i="1" s="1"/>
  <c r="Q26" i="1"/>
  <c r="R25" i="1"/>
  <c r="S25" i="1" s="1"/>
  <c r="Q25" i="1"/>
  <c r="R24" i="1"/>
  <c r="S24" i="1" s="1"/>
  <c r="Q24" i="1"/>
  <c r="R23" i="1"/>
  <c r="S23" i="1" s="1"/>
  <c r="Q23" i="1"/>
  <c r="R22" i="1"/>
  <c r="Q22" i="1"/>
  <c r="R21" i="1"/>
  <c r="S21" i="1" s="1"/>
  <c r="Q21" i="1"/>
  <c r="R20" i="1"/>
  <c r="S20" i="1" s="1"/>
  <c r="Q20" i="1"/>
  <c r="R19" i="1"/>
  <c r="S19" i="1" s="1"/>
  <c r="Q19" i="1"/>
  <c r="R18" i="1"/>
  <c r="S18" i="1" s="1"/>
  <c r="Q18" i="1"/>
  <c r="R17" i="1"/>
  <c r="S17" i="1" s="1"/>
  <c r="Q17" i="1"/>
  <c r="R16" i="1"/>
  <c r="S16" i="1" s="1"/>
  <c r="Q16" i="1"/>
  <c r="R15" i="1"/>
  <c r="S15" i="1" s="1"/>
  <c r="Q15" i="1"/>
  <c r="R14" i="1"/>
  <c r="S14" i="1" s="1"/>
  <c r="Q14" i="1"/>
  <c r="R13" i="1"/>
  <c r="S13" i="1" s="1"/>
  <c r="Q13" i="1"/>
  <c r="R12" i="1"/>
  <c r="S12" i="1" s="1"/>
  <c r="Q12" i="1"/>
  <c r="R11" i="1"/>
  <c r="S11" i="1" s="1"/>
  <c r="Q11" i="1"/>
  <c r="R10" i="1"/>
  <c r="S10" i="1" s="1"/>
  <c r="Q10" i="1"/>
  <c r="R9" i="1"/>
  <c r="S9" i="1" s="1"/>
  <c r="Q9" i="1"/>
  <c r="R8" i="1"/>
  <c r="S8" i="1" s="1"/>
  <c r="Q8" i="1"/>
  <c r="R419" i="1" l="1"/>
  <c r="S419" i="1" s="1"/>
  <c r="Q419" i="1"/>
  <c r="Q404" i="1"/>
  <c r="R404" i="1"/>
  <c r="S404" i="1" s="1"/>
  <c r="S22" i="1"/>
</calcChain>
</file>

<file path=xl/sharedStrings.xml><?xml version="1.0" encoding="utf-8"?>
<sst xmlns="http://schemas.openxmlformats.org/spreadsheetml/2006/main" count="1776" uniqueCount="41">
  <si>
    <t>Bill to Account Number</t>
  </si>
  <si>
    <t>FedEx Invoice Number</t>
  </si>
  <si>
    <t>Invoice Date</t>
  </si>
  <si>
    <t>Air Waybill Number</t>
  </si>
  <si>
    <t>Shipper Reference 1</t>
  </si>
  <si>
    <t>Shipping Date</t>
  </si>
  <si>
    <t>Actual Weight</t>
  </si>
  <si>
    <t>Dim Length</t>
  </si>
  <si>
    <t>Dim Width</t>
  </si>
  <si>
    <t>Dim Height</t>
  </si>
  <si>
    <t>Rated Weight Amount</t>
  </si>
  <si>
    <t>Zone Code</t>
  </si>
  <si>
    <t>Freight</t>
  </si>
  <si>
    <t>Demand</t>
  </si>
  <si>
    <t>Other</t>
  </si>
  <si>
    <t>Fuel</t>
  </si>
  <si>
    <t>%</t>
  </si>
  <si>
    <t>Total</t>
  </si>
  <si>
    <t>With GST</t>
  </si>
  <si>
    <t>01/07/2026</t>
  </si>
  <si>
    <t>G</t>
  </si>
  <si>
    <t>04/07/2026</t>
  </si>
  <si>
    <t>06/07/2026</t>
  </si>
  <si>
    <t>10/07/2026</t>
  </si>
  <si>
    <t>11/07/2026</t>
  </si>
  <si>
    <t>13/07/2026</t>
  </si>
  <si>
    <t>37157_1</t>
  </si>
  <si>
    <t>40565_2</t>
  </si>
  <si>
    <t>15/07/2026</t>
  </si>
  <si>
    <t>16/07/2026</t>
  </si>
  <si>
    <t>17/07/2026</t>
  </si>
  <si>
    <t>41565/41559</t>
  </si>
  <si>
    <t>18/07/2026</t>
  </si>
  <si>
    <t>29/06/2026</t>
  </si>
  <si>
    <t>30/06/2026</t>
  </si>
  <si>
    <t>02/07/2026</t>
  </si>
  <si>
    <t>03/07/2026</t>
  </si>
  <si>
    <t>7871598_2</t>
  </si>
  <si>
    <t>07/07/2026</t>
  </si>
  <si>
    <t>08/07/2026</t>
  </si>
  <si>
    <t>CTWPR7908H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</si>
</sst>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0000_ ;_ * \-#,##0.00000_ ;_ * &quot;-&quot;??_ ;_ @_ "/>
    <numFmt numFmtId="165" formatCode="_ * #,##0.0_ ;_ * \-#,##0.0_ ;_ * &quot;-&quot;??_ ;_ @_ "/>
    <numFmt numFmtId="166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1" fontId="0" fillId="0" borderId="0" xfId="0" applyNumberFormat="1"/>
    <xf numFmtId="43" fontId="0" fillId="0" borderId="0" xfId="1" applyFont="1"/>
    <xf numFmtId="4" fontId="0" fillId="0" borderId="0" xfId="0" applyNumberFormat="1"/>
    <xf numFmtId="0" fontId="3" fillId="0" borderId="1" xfId="2" applyFont="1" applyBorder="1"/>
    <xf numFmtId="0" fontId="3" fillId="0" borderId="2" xfId="2" applyFont="1" applyBorder="1"/>
    <xf numFmtId="1" fontId="3" fillId="0" borderId="2" xfId="2" applyNumberFormat="1" applyFont="1" applyBorder="1"/>
    <xf numFmtId="43" fontId="3" fillId="0" borderId="2" xfId="1" applyFont="1" applyBorder="1" applyAlignment="1">
      <alignment horizontal="center"/>
    </xf>
    <xf numFmtId="164" fontId="3" fillId="0" borderId="2" xfId="3" applyNumberFormat="1" applyFont="1" applyBorder="1" applyAlignment="1">
      <alignment horizontal="center"/>
    </xf>
    <xf numFmtId="165" fontId="3" fillId="0" borderId="2" xfId="3" applyNumberFormat="1" applyFont="1" applyBorder="1" applyAlignment="1">
      <alignment horizontal="center"/>
    </xf>
    <xf numFmtId="43" fontId="1" fillId="0" borderId="2" xfId="1" applyBorder="1" applyAlignment="1">
      <alignment horizontal="center"/>
    </xf>
    <xf numFmtId="14" fontId="0" fillId="0" borderId="0" xfId="0" applyNumberFormat="1"/>
    <xf numFmtId="2" fontId="0" fillId="0" borderId="0" xfId="0" applyNumberFormat="1"/>
    <xf numFmtId="166" fontId="0" fillId="0" borderId="0" xfId="0" applyNumberFormat="1"/>
    <xf numFmtId="4" fontId="4" fillId="0" borderId="3" xfId="0" applyNumberFormat="1" applyFont="1" applyBorder="1"/>
    <xf numFmtId="43" fontId="1" fillId="0" borderId="0" xfId="1"/>
  </cellXfs>
  <cellStyles count="4">
    <cellStyle name="Comma" xfId="1" builtinId="3"/>
    <cellStyle name="Comma 2" xfId="3" xr:uid="{664D7935-1FD9-4C15-801D-0DE0C54D466E}"/>
    <cellStyle name="Normal" xfId="0" builtinId="0"/>
    <cellStyle name="Normal 3" xfId="2" xr:uid="{55D1E738-E83E-4605-95D5-5182DE9D50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4921-B629-40D7-A2E0-C28210161199}">
  <dimension ref="A2:S885"/>
  <sheetViews>
    <sheetView tabSelected="1" topLeftCell="A7" workbookViewId="0">
      <pane ySplit="1" topLeftCell="A8" activePane="bottomLeft" state="frozen"/>
      <selection activeCell="A7" sqref="A7"/>
      <selection pane="bottomLeft" activeCell="A5" sqref="A5"/>
    </sheetView>
  </sheetViews>
  <sheetFormatPr defaultRowHeight="14.4" x14ac:dyDescent="0.3"/>
  <cols>
    <col min="1" max="1" width="20.6640625" bestFit="1" customWidth="1"/>
    <col min="2" max="2" width="20" bestFit="1" customWidth="1"/>
    <col min="3" max="3" width="11.44140625" bestFit="1" customWidth="1"/>
    <col min="4" max="4" width="17.5546875" style="1" bestFit="1" customWidth="1"/>
    <col min="5" max="5" width="18" bestFit="1" customWidth="1"/>
    <col min="6" max="6" width="12.6640625" bestFit="1" customWidth="1"/>
    <col min="7" max="7" width="12.77734375" bestFit="1" customWidth="1"/>
    <col min="8" max="8" width="10.5546875" bestFit="1" customWidth="1"/>
    <col min="9" max="9" width="9.88671875" bestFit="1" customWidth="1"/>
    <col min="10" max="10" width="10.21875" bestFit="1" customWidth="1"/>
    <col min="11" max="11" width="19.88671875" bestFit="1" customWidth="1"/>
    <col min="12" max="12" width="10" bestFit="1" customWidth="1"/>
    <col min="13" max="13" width="11.44140625" style="2" bestFit="1" customWidth="1"/>
    <col min="14" max="14" width="10.44140625" style="2" bestFit="1" customWidth="1"/>
    <col min="15" max="15" width="8.88671875" style="2" bestFit="1"/>
    <col min="16" max="16" width="10.44140625" style="2" bestFit="1" customWidth="1"/>
    <col min="17" max="17" width="3.33203125" bestFit="1" customWidth="1"/>
    <col min="18" max="18" width="11.44140625" bestFit="1" customWidth="1"/>
    <col min="19" max="19" width="11.33203125" bestFit="1" customWidth="1"/>
  </cols>
  <sheetData>
    <row r="2" spans="1:19" x14ac:dyDescent="0.3">
      <c r="R2" s="3"/>
      <c r="S2" s="3"/>
    </row>
    <row r="4" spans="1:19" x14ac:dyDescent="0.3">
      <c r="M4" s="3"/>
      <c r="N4" s="3"/>
      <c r="O4" s="3"/>
      <c r="P4" s="3"/>
      <c r="R4" s="3"/>
      <c r="S4" s="3"/>
    </row>
    <row r="5" spans="1:19" x14ac:dyDescent="0.3">
      <c r="R5" s="3"/>
      <c r="S5" s="3"/>
    </row>
    <row r="6" spans="1:19" ht="15" thickBot="1" x14ac:dyDescent="0.35">
      <c r="R6" s="3"/>
      <c r="S6" s="3"/>
    </row>
    <row r="7" spans="1:19" ht="15" thickBot="1" x14ac:dyDescent="0.35">
      <c r="A7" s="4" t="s">
        <v>0</v>
      </c>
      <c r="B7" s="5" t="s">
        <v>1</v>
      </c>
      <c r="C7" s="5" t="s">
        <v>2</v>
      </c>
      <c r="D7" s="6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5" t="s">
        <v>9</v>
      </c>
      <c r="K7" s="5" t="s">
        <v>10</v>
      </c>
      <c r="L7" s="5" t="s">
        <v>11</v>
      </c>
      <c r="M7" s="7" t="s">
        <v>12</v>
      </c>
      <c r="N7" s="7" t="s">
        <v>13</v>
      </c>
      <c r="O7" s="7" t="s">
        <v>14</v>
      </c>
      <c r="P7" s="7" t="s">
        <v>15</v>
      </c>
      <c r="Q7" s="8" t="s">
        <v>16</v>
      </c>
      <c r="R7" s="9" t="s">
        <v>17</v>
      </c>
      <c r="S7" s="10" t="s">
        <v>18</v>
      </c>
    </row>
    <row r="8" spans="1:19" x14ac:dyDescent="0.3">
      <c r="A8">
        <v>200010076</v>
      </c>
      <c r="B8">
        <v>273715040</v>
      </c>
      <c r="C8" s="11">
        <v>46230</v>
      </c>
      <c r="D8" s="1">
        <v>873720905406</v>
      </c>
      <c r="E8">
        <v>40335</v>
      </c>
      <c r="F8" t="s">
        <v>19</v>
      </c>
      <c r="G8" s="12">
        <v>9</v>
      </c>
      <c r="H8">
        <v>63</v>
      </c>
      <c r="I8">
        <v>28</v>
      </c>
      <c r="J8">
        <v>28</v>
      </c>
      <c r="K8" s="12">
        <v>9</v>
      </c>
      <c r="L8" t="s">
        <v>20</v>
      </c>
      <c r="M8" s="2">
        <v>3299.4</v>
      </c>
      <c r="N8" s="2">
        <v>594</v>
      </c>
      <c r="P8" s="2">
        <v>1499</v>
      </c>
      <c r="Q8" s="13">
        <f>+P8/SUM(M8:O8)</f>
        <v>0.38501053064159857</v>
      </c>
      <c r="R8" s="14">
        <f>SUM(M8:P8)</f>
        <v>5392.4</v>
      </c>
      <c r="S8" s="15">
        <f>+R8*1.18</f>
        <v>6363.0319999999992</v>
      </c>
    </row>
    <row r="9" spans="1:19" x14ac:dyDescent="0.3">
      <c r="A9">
        <v>200010076</v>
      </c>
      <c r="B9">
        <v>273715040</v>
      </c>
      <c r="C9" s="11">
        <v>46230</v>
      </c>
      <c r="D9" s="1">
        <v>873942768221</v>
      </c>
      <c r="E9">
        <v>40752</v>
      </c>
      <c r="F9" t="s">
        <v>21</v>
      </c>
      <c r="G9" s="12">
        <v>3</v>
      </c>
      <c r="H9">
        <v>46</v>
      </c>
      <c r="I9">
        <v>18</v>
      </c>
      <c r="J9">
        <v>18</v>
      </c>
      <c r="K9" s="12">
        <v>3</v>
      </c>
      <c r="L9" t="s">
        <v>20</v>
      </c>
      <c r="M9" s="2">
        <v>1700.6</v>
      </c>
      <c r="N9" s="2">
        <v>198</v>
      </c>
      <c r="P9" s="2">
        <v>731</v>
      </c>
      <c r="Q9" s="13">
        <f t="shared" ref="Q9:Q72" si="0">+P9/SUM(M9:O9)</f>
        <v>0.38502054145159592</v>
      </c>
      <c r="R9" s="14">
        <f t="shared" ref="R9:R72" si="1">SUM(M9:P9)</f>
        <v>2629.6</v>
      </c>
      <c r="S9" s="15">
        <f t="shared" ref="S9:S72" si="2">+R9*1.18</f>
        <v>3102.9279999999999</v>
      </c>
    </row>
    <row r="10" spans="1:19" x14ac:dyDescent="0.3">
      <c r="A10">
        <v>200010076</v>
      </c>
      <c r="B10">
        <v>273715040</v>
      </c>
      <c r="C10" s="11">
        <v>46230</v>
      </c>
      <c r="D10" s="1">
        <v>873942769331</v>
      </c>
      <c r="E10">
        <v>41749</v>
      </c>
      <c r="F10" t="s">
        <v>21</v>
      </c>
      <c r="G10" s="12">
        <v>15.5</v>
      </c>
      <c r="H10">
        <v>68</v>
      </c>
      <c r="I10">
        <v>36</v>
      </c>
      <c r="J10">
        <v>36</v>
      </c>
      <c r="K10" s="12">
        <v>15.5</v>
      </c>
      <c r="L10" t="s">
        <v>20</v>
      </c>
      <c r="M10" s="2">
        <v>6282</v>
      </c>
      <c r="N10" s="2">
        <v>1023</v>
      </c>
      <c r="P10" s="2">
        <v>2812.4</v>
      </c>
      <c r="Q10" s="13">
        <f t="shared" si="0"/>
        <v>0.38499657768651607</v>
      </c>
      <c r="R10" s="14">
        <f t="shared" si="1"/>
        <v>10117.4</v>
      </c>
      <c r="S10" s="15">
        <f t="shared" si="2"/>
        <v>11938.531999999999</v>
      </c>
    </row>
    <row r="11" spans="1:19" x14ac:dyDescent="0.3">
      <c r="A11">
        <v>200010076</v>
      </c>
      <c r="B11">
        <v>273715040</v>
      </c>
      <c r="C11" s="11">
        <v>46230</v>
      </c>
      <c r="D11" s="1">
        <v>873942769673</v>
      </c>
      <c r="E11">
        <v>40319</v>
      </c>
      <c r="F11" t="s">
        <v>21</v>
      </c>
      <c r="G11" s="12">
        <v>4.5</v>
      </c>
      <c r="H11">
        <v>58</v>
      </c>
      <c r="I11">
        <v>21</v>
      </c>
      <c r="J11">
        <v>21</v>
      </c>
      <c r="K11" s="12">
        <v>4.5</v>
      </c>
      <c r="L11" t="s">
        <v>20</v>
      </c>
      <c r="M11" s="2">
        <v>2098.9</v>
      </c>
      <c r="N11" s="2">
        <v>297</v>
      </c>
      <c r="P11" s="2">
        <v>922.4</v>
      </c>
      <c r="Q11" s="13">
        <f t="shared" si="0"/>
        <v>0.38499102633665844</v>
      </c>
      <c r="R11" s="14">
        <f t="shared" si="1"/>
        <v>3318.3</v>
      </c>
      <c r="S11" s="15">
        <f t="shared" si="2"/>
        <v>3915.5940000000001</v>
      </c>
    </row>
    <row r="12" spans="1:19" x14ac:dyDescent="0.3">
      <c r="A12">
        <v>200010076</v>
      </c>
      <c r="B12">
        <v>273715040</v>
      </c>
      <c r="C12" s="11">
        <v>46230</v>
      </c>
      <c r="D12" s="1">
        <v>873942772978</v>
      </c>
      <c r="E12">
        <v>41346</v>
      </c>
      <c r="F12" t="s">
        <v>21</v>
      </c>
      <c r="G12" s="12">
        <v>18.5</v>
      </c>
      <c r="H12">
        <v>91</v>
      </c>
      <c r="I12">
        <v>36</v>
      </c>
      <c r="J12">
        <v>33</v>
      </c>
      <c r="K12" s="12">
        <v>18.5</v>
      </c>
      <c r="L12" t="s">
        <v>20</v>
      </c>
      <c r="M12" s="2">
        <v>7306.1</v>
      </c>
      <c r="N12" s="2">
        <v>1221</v>
      </c>
      <c r="P12" s="2">
        <v>3282.9</v>
      </c>
      <c r="Q12" s="13">
        <f t="shared" si="0"/>
        <v>0.38499607134899322</v>
      </c>
      <c r="R12" s="14">
        <f t="shared" si="1"/>
        <v>11810</v>
      </c>
      <c r="S12" s="15">
        <f t="shared" si="2"/>
        <v>13935.8</v>
      </c>
    </row>
    <row r="13" spans="1:19" x14ac:dyDescent="0.3">
      <c r="A13">
        <v>200010076</v>
      </c>
      <c r="B13">
        <v>273715040</v>
      </c>
      <c r="C13" s="11">
        <v>46230</v>
      </c>
      <c r="D13" s="1">
        <v>873942773025</v>
      </c>
      <c r="E13">
        <v>40699</v>
      </c>
      <c r="F13" t="s">
        <v>21</v>
      </c>
      <c r="G13" s="12">
        <v>2.5</v>
      </c>
      <c r="H13">
        <v>53</v>
      </c>
      <c r="I13">
        <v>16</v>
      </c>
      <c r="J13">
        <v>15</v>
      </c>
      <c r="K13" s="12">
        <v>2.5</v>
      </c>
      <c r="L13" t="s">
        <v>20</v>
      </c>
      <c r="M13" s="2">
        <v>1671.3</v>
      </c>
      <c r="N13" s="2">
        <v>165</v>
      </c>
      <c r="P13" s="2">
        <v>707</v>
      </c>
      <c r="Q13" s="13">
        <f t="shared" si="0"/>
        <v>0.38501334204650656</v>
      </c>
      <c r="R13" s="14">
        <f t="shared" si="1"/>
        <v>2543.3000000000002</v>
      </c>
      <c r="S13" s="15">
        <f t="shared" si="2"/>
        <v>3001.0940000000001</v>
      </c>
    </row>
    <row r="14" spans="1:19" x14ac:dyDescent="0.3">
      <c r="A14">
        <v>200010076</v>
      </c>
      <c r="B14">
        <v>273715040</v>
      </c>
      <c r="C14" s="11">
        <v>46230</v>
      </c>
      <c r="D14" s="1">
        <v>873942773459</v>
      </c>
      <c r="E14">
        <v>40667</v>
      </c>
      <c r="F14" t="s">
        <v>21</v>
      </c>
      <c r="G14" s="12">
        <v>3.5</v>
      </c>
      <c r="H14">
        <v>45</v>
      </c>
      <c r="I14">
        <v>21</v>
      </c>
      <c r="J14">
        <v>20</v>
      </c>
      <c r="K14" s="12">
        <v>3.5</v>
      </c>
      <c r="L14" t="s">
        <v>20</v>
      </c>
      <c r="M14" s="2">
        <v>1833.3</v>
      </c>
      <c r="N14" s="2">
        <v>231</v>
      </c>
      <c r="P14" s="2">
        <v>794.8</v>
      </c>
      <c r="Q14" s="13">
        <f t="shared" si="0"/>
        <v>0.38502155694424256</v>
      </c>
      <c r="R14" s="14">
        <f t="shared" si="1"/>
        <v>2859.1000000000004</v>
      </c>
      <c r="S14" s="15">
        <f t="shared" si="2"/>
        <v>3373.7380000000003</v>
      </c>
    </row>
    <row r="15" spans="1:19" x14ac:dyDescent="0.3">
      <c r="A15">
        <v>200010076</v>
      </c>
      <c r="B15">
        <v>273715040</v>
      </c>
      <c r="C15" s="11">
        <v>46230</v>
      </c>
      <c r="D15" s="1">
        <v>873942774124</v>
      </c>
      <c r="E15">
        <v>41296</v>
      </c>
      <c r="F15" t="s">
        <v>21</v>
      </c>
      <c r="G15" s="12">
        <v>4.5</v>
      </c>
      <c r="H15">
        <v>54</v>
      </c>
      <c r="I15">
        <v>21</v>
      </c>
      <c r="J15">
        <v>21</v>
      </c>
      <c r="K15" s="12">
        <v>4.5</v>
      </c>
      <c r="L15" t="s">
        <v>20</v>
      </c>
      <c r="M15" s="2">
        <v>2098.9</v>
      </c>
      <c r="N15" s="2">
        <v>297</v>
      </c>
      <c r="P15" s="2">
        <v>922.4</v>
      </c>
      <c r="Q15" s="13">
        <f t="shared" si="0"/>
        <v>0.38499102633665844</v>
      </c>
      <c r="R15" s="14">
        <f t="shared" si="1"/>
        <v>3318.3</v>
      </c>
      <c r="S15" s="15">
        <f t="shared" si="2"/>
        <v>3915.5940000000001</v>
      </c>
    </row>
    <row r="16" spans="1:19" x14ac:dyDescent="0.3">
      <c r="A16">
        <v>200010076</v>
      </c>
      <c r="B16">
        <v>273715040</v>
      </c>
      <c r="C16" s="11">
        <v>46230</v>
      </c>
      <c r="D16" s="1">
        <v>873942775484</v>
      </c>
      <c r="E16">
        <v>41709</v>
      </c>
      <c r="F16" t="s">
        <v>21</v>
      </c>
      <c r="G16" s="12">
        <v>4.5</v>
      </c>
      <c r="H16">
        <v>70</v>
      </c>
      <c r="I16">
        <v>19</v>
      </c>
      <c r="J16">
        <v>19</v>
      </c>
      <c r="K16" s="12">
        <v>4.5</v>
      </c>
      <c r="L16" t="s">
        <v>20</v>
      </c>
      <c r="M16" s="2">
        <v>2098.9</v>
      </c>
      <c r="N16" s="2">
        <v>297</v>
      </c>
      <c r="P16" s="2">
        <v>922.4</v>
      </c>
      <c r="Q16" s="13">
        <f t="shared" si="0"/>
        <v>0.38499102633665844</v>
      </c>
      <c r="R16" s="14">
        <f t="shared" si="1"/>
        <v>3318.3</v>
      </c>
      <c r="S16" s="15">
        <f t="shared" si="2"/>
        <v>3915.5940000000001</v>
      </c>
    </row>
    <row r="17" spans="1:19" x14ac:dyDescent="0.3">
      <c r="A17">
        <v>200010076</v>
      </c>
      <c r="B17">
        <v>273715040</v>
      </c>
      <c r="C17" s="11">
        <v>46230</v>
      </c>
      <c r="D17" s="1">
        <v>873942775679</v>
      </c>
      <c r="E17">
        <v>41017</v>
      </c>
      <c r="F17" t="s">
        <v>21</v>
      </c>
      <c r="G17" s="12">
        <v>5.5</v>
      </c>
      <c r="H17">
        <v>63</v>
      </c>
      <c r="I17">
        <v>23</v>
      </c>
      <c r="J17">
        <v>21</v>
      </c>
      <c r="K17" s="12">
        <v>5.5</v>
      </c>
      <c r="L17" t="s">
        <v>20</v>
      </c>
      <c r="M17" s="2">
        <v>2494</v>
      </c>
      <c r="N17" s="2">
        <v>363</v>
      </c>
      <c r="P17" s="2">
        <v>1100</v>
      </c>
      <c r="Q17" s="13">
        <f t="shared" si="0"/>
        <v>0.38501925096254813</v>
      </c>
      <c r="R17" s="14">
        <f t="shared" si="1"/>
        <v>3957</v>
      </c>
      <c r="S17" s="15">
        <f t="shared" si="2"/>
        <v>4669.2599999999993</v>
      </c>
    </row>
    <row r="18" spans="1:19" x14ac:dyDescent="0.3">
      <c r="A18">
        <v>200010076</v>
      </c>
      <c r="B18">
        <v>273715040</v>
      </c>
      <c r="C18" s="11">
        <v>46230</v>
      </c>
      <c r="D18" s="1">
        <v>873942778510</v>
      </c>
      <c r="E18">
        <v>41862</v>
      </c>
      <c r="F18" t="s">
        <v>21</v>
      </c>
      <c r="G18" s="12">
        <v>5.5</v>
      </c>
      <c r="H18">
        <v>60</v>
      </c>
      <c r="I18">
        <v>22</v>
      </c>
      <c r="J18">
        <v>20</v>
      </c>
      <c r="K18" s="12">
        <v>5.5</v>
      </c>
      <c r="L18" t="s">
        <v>20</v>
      </c>
      <c r="M18" s="2">
        <v>2494</v>
      </c>
      <c r="N18" s="2">
        <v>363</v>
      </c>
      <c r="P18" s="2">
        <v>1100</v>
      </c>
      <c r="Q18" s="13">
        <f t="shared" si="0"/>
        <v>0.38501925096254813</v>
      </c>
      <c r="R18" s="14">
        <f t="shared" si="1"/>
        <v>3957</v>
      </c>
      <c r="S18" s="15">
        <f t="shared" si="2"/>
        <v>4669.2599999999993</v>
      </c>
    </row>
    <row r="19" spans="1:19" x14ac:dyDescent="0.3">
      <c r="A19">
        <v>200010076</v>
      </c>
      <c r="B19">
        <v>273715040</v>
      </c>
      <c r="C19" s="11">
        <v>46230</v>
      </c>
      <c r="D19" s="1">
        <v>873942779104</v>
      </c>
      <c r="E19">
        <v>41319</v>
      </c>
      <c r="F19" t="s">
        <v>21</v>
      </c>
      <c r="G19" s="12">
        <v>6</v>
      </c>
      <c r="H19">
        <v>54</v>
      </c>
      <c r="I19">
        <v>25</v>
      </c>
      <c r="J19">
        <v>24</v>
      </c>
      <c r="K19" s="12">
        <v>6</v>
      </c>
      <c r="L19" t="s">
        <v>20</v>
      </c>
      <c r="M19" s="2">
        <v>2609.1</v>
      </c>
      <c r="N19" s="2">
        <v>396</v>
      </c>
      <c r="P19" s="2">
        <v>1157</v>
      </c>
      <c r="Q19" s="13">
        <f t="shared" si="0"/>
        <v>0.38501214601843536</v>
      </c>
      <c r="R19" s="14">
        <f t="shared" si="1"/>
        <v>4162.1000000000004</v>
      </c>
      <c r="S19" s="15">
        <f t="shared" si="2"/>
        <v>4911.2780000000002</v>
      </c>
    </row>
    <row r="20" spans="1:19" x14ac:dyDescent="0.3">
      <c r="A20">
        <v>200010076</v>
      </c>
      <c r="B20">
        <v>273715040</v>
      </c>
      <c r="C20" s="11">
        <v>46230</v>
      </c>
      <c r="D20" s="1">
        <v>873942779917</v>
      </c>
      <c r="E20">
        <v>41132</v>
      </c>
      <c r="F20" t="s">
        <v>21</v>
      </c>
      <c r="G20" s="12">
        <v>10</v>
      </c>
      <c r="H20">
        <v>64</v>
      </c>
      <c r="I20">
        <v>30</v>
      </c>
      <c r="J20">
        <v>30</v>
      </c>
      <c r="K20" s="12">
        <v>10</v>
      </c>
      <c r="L20" t="s">
        <v>20</v>
      </c>
      <c r="M20" s="2">
        <v>3529.5</v>
      </c>
      <c r="N20" s="2">
        <v>660</v>
      </c>
      <c r="P20" s="2">
        <v>1613</v>
      </c>
      <c r="Q20" s="13">
        <f t="shared" si="0"/>
        <v>0.38501014440864068</v>
      </c>
      <c r="R20" s="14">
        <f t="shared" si="1"/>
        <v>5802.5</v>
      </c>
      <c r="S20" s="15">
        <f t="shared" si="2"/>
        <v>6846.95</v>
      </c>
    </row>
    <row r="21" spans="1:19" x14ac:dyDescent="0.3">
      <c r="A21">
        <v>200010076</v>
      </c>
      <c r="B21">
        <v>273715040</v>
      </c>
      <c r="C21" s="11">
        <v>46230</v>
      </c>
      <c r="D21" s="1">
        <v>873942779994</v>
      </c>
      <c r="E21">
        <v>40895</v>
      </c>
      <c r="F21" t="s">
        <v>21</v>
      </c>
      <c r="G21" s="12">
        <v>8.5</v>
      </c>
      <c r="H21">
        <v>63</v>
      </c>
      <c r="I21">
        <v>28</v>
      </c>
      <c r="J21">
        <v>28</v>
      </c>
      <c r="K21" s="12">
        <v>8.5</v>
      </c>
      <c r="L21" t="s">
        <v>20</v>
      </c>
      <c r="M21" s="2">
        <v>3184.4</v>
      </c>
      <c r="N21" s="2">
        <v>561</v>
      </c>
      <c r="P21" s="2">
        <v>1442</v>
      </c>
      <c r="Q21" s="13">
        <f t="shared" si="0"/>
        <v>0.38500560687777008</v>
      </c>
      <c r="R21" s="14">
        <f t="shared" si="1"/>
        <v>5187.3999999999996</v>
      </c>
      <c r="S21" s="15">
        <f t="shared" si="2"/>
        <v>6121.1319999999996</v>
      </c>
    </row>
    <row r="22" spans="1:19" x14ac:dyDescent="0.3">
      <c r="A22">
        <v>200010076</v>
      </c>
      <c r="B22">
        <v>273715040</v>
      </c>
      <c r="C22" s="11">
        <v>46230</v>
      </c>
      <c r="D22" s="1">
        <v>873942781148</v>
      </c>
      <c r="E22">
        <v>40360</v>
      </c>
      <c r="F22" t="s">
        <v>21</v>
      </c>
      <c r="G22" s="12">
        <v>4.5</v>
      </c>
      <c r="H22">
        <v>54</v>
      </c>
      <c r="I22">
        <v>22</v>
      </c>
      <c r="J22">
        <v>21</v>
      </c>
      <c r="K22" s="12">
        <v>4.5</v>
      </c>
      <c r="L22" t="s">
        <v>20</v>
      </c>
      <c r="M22" s="2">
        <v>2098.9</v>
      </c>
      <c r="N22" s="2">
        <v>297</v>
      </c>
      <c r="P22" s="2">
        <v>922.4</v>
      </c>
      <c r="Q22" s="13">
        <f t="shared" si="0"/>
        <v>0.38499102633665844</v>
      </c>
      <c r="R22" s="14">
        <f t="shared" si="1"/>
        <v>3318.3</v>
      </c>
      <c r="S22" s="15">
        <f t="shared" si="2"/>
        <v>3915.5940000000001</v>
      </c>
    </row>
    <row r="23" spans="1:19" x14ac:dyDescent="0.3">
      <c r="A23">
        <v>200010076</v>
      </c>
      <c r="B23">
        <v>273715040</v>
      </c>
      <c r="C23" s="11">
        <v>46230</v>
      </c>
      <c r="D23" s="1">
        <v>873942782409</v>
      </c>
      <c r="E23">
        <v>40321</v>
      </c>
      <c r="F23" t="s">
        <v>21</v>
      </c>
      <c r="G23" s="12">
        <v>6</v>
      </c>
      <c r="H23">
        <v>44</v>
      </c>
      <c r="I23">
        <v>27</v>
      </c>
      <c r="J23">
        <v>27</v>
      </c>
      <c r="K23" s="12">
        <v>6</v>
      </c>
      <c r="L23" t="s">
        <v>20</v>
      </c>
      <c r="M23" s="2">
        <v>2609.1</v>
      </c>
      <c r="N23" s="2">
        <v>396</v>
      </c>
      <c r="P23" s="2">
        <v>1157</v>
      </c>
      <c r="Q23" s="13">
        <f t="shared" si="0"/>
        <v>0.38501214601843536</v>
      </c>
      <c r="R23" s="14">
        <f t="shared" si="1"/>
        <v>4162.1000000000004</v>
      </c>
      <c r="S23" s="15">
        <f t="shared" si="2"/>
        <v>4911.2780000000002</v>
      </c>
    </row>
    <row r="24" spans="1:19" x14ac:dyDescent="0.3">
      <c r="A24">
        <v>200010076</v>
      </c>
      <c r="B24">
        <v>273715040</v>
      </c>
      <c r="C24" s="11">
        <v>46230</v>
      </c>
      <c r="D24" s="1">
        <v>873942782497</v>
      </c>
      <c r="E24">
        <v>41716</v>
      </c>
      <c r="F24" t="s">
        <v>21</v>
      </c>
      <c r="G24" s="12">
        <v>5.5</v>
      </c>
      <c r="H24">
        <v>62</v>
      </c>
      <c r="I24">
        <v>24</v>
      </c>
      <c r="J24">
        <v>22</v>
      </c>
      <c r="K24" s="12">
        <v>5.5</v>
      </c>
      <c r="L24" t="s">
        <v>20</v>
      </c>
      <c r="M24" s="2">
        <v>2494</v>
      </c>
      <c r="N24" s="2">
        <v>363</v>
      </c>
      <c r="P24" s="2">
        <v>1100</v>
      </c>
      <c r="Q24" s="13">
        <f t="shared" si="0"/>
        <v>0.38501925096254813</v>
      </c>
      <c r="R24" s="14">
        <f t="shared" si="1"/>
        <v>3957</v>
      </c>
      <c r="S24" s="15">
        <f t="shared" si="2"/>
        <v>4669.2599999999993</v>
      </c>
    </row>
    <row r="25" spans="1:19" x14ac:dyDescent="0.3">
      <c r="A25">
        <v>200010076</v>
      </c>
      <c r="B25">
        <v>273715040</v>
      </c>
      <c r="C25" s="11">
        <v>46230</v>
      </c>
      <c r="D25" s="1">
        <v>873942782648</v>
      </c>
      <c r="E25">
        <v>41751</v>
      </c>
      <c r="F25" t="s">
        <v>21</v>
      </c>
      <c r="G25" s="12">
        <v>4.5</v>
      </c>
      <c r="H25">
        <v>54</v>
      </c>
      <c r="I25">
        <v>22</v>
      </c>
      <c r="J25">
        <v>22</v>
      </c>
      <c r="K25" s="12">
        <v>4.5</v>
      </c>
      <c r="L25" t="s">
        <v>20</v>
      </c>
      <c r="M25" s="2">
        <v>2098.9</v>
      </c>
      <c r="N25" s="2">
        <v>297</v>
      </c>
      <c r="P25" s="2">
        <v>922.4</v>
      </c>
      <c r="Q25" s="13">
        <f t="shared" si="0"/>
        <v>0.38499102633665844</v>
      </c>
      <c r="R25" s="14">
        <f t="shared" si="1"/>
        <v>3318.3</v>
      </c>
      <c r="S25" s="15">
        <f t="shared" si="2"/>
        <v>3915.5940000000001</v>
      </c>
    </row>
    <row r="26" spans="1:19" x14ac:dyDescent="0.3">
      <c r="A26">
        <v>200010076</v>
      </c>
      <c r="B26">
        <v>273715040</v>
      </c>
      <c r="C26" s="11">
        <v>46230</v>
      </c>
      <c r="D26" s="1">
        <v>873942782659</v>
      </c>
      <c r="E26">
        <v>38331</v>
      </c>
      <c r="F26" t="s">
        <v>21</v>
      </c>
      <c r="G26" s="12">
        <v>9.5</v>
      </c>
      <c r="H26">
        <v>64</v>
      </c>
      <c r="I26">
        <v>31</v>
      </c>
      <c r="J26">
        <v>28</v>
      </c>
      <c r="K26" s="12">
        <v>9.5</v>
      </c>
      <c r="L26" t="s">
        <v>20</v>
      </c>
      <c r="M26" s="2">
        <v>3414.5</v>
      </c>
      <c r="N26" s="2">
        <v>627</v>
      </c>
      <c r="P26" s="2">
        <v>1556</v>
      </c>
      <c r="Q26" s="13">
        <f t="shared" si="0"/>
        <v>0.38500556723988616</v>
      </c>
      <c r="R26" s="14">
        <f t="shared" si="1"/>
        <v>5597.5</v>
      </c>
      <c r="S26" s="15">
        <f t="shared" si="2"/>
        <v>6605.0499999999993</v>
      </c>
    </row>
    <row r="27" spans="1:19" x14ac:dyDescent="0.3">
      <c r="A27">
        <v>200010076</v>
      </c>
      <c r="B27">
        <v>273715040</v>
      </c>
      <c r="C27" s="11">
        <v>46230</v>
      </c>
      <c r="D27" s="1">
        <v>873942784033</v>
      </c>
      <c r="E27">
        <v>38141</v>
      </c>
      <c r="F27" t="s">
        <v>21</v>
      </c>
      <c r="G27" s="12">
        <v>8.5</v>
      </c>
      <c r="H27">
        <v>52</v>
      </c>
      <c r="I27">
        <v>31</v>
      </c>
      <c r="J27">
        <v>30</v>
      </c>
      <c r="K27" s="12">
        <v>8.5</v>
      </c>
      <c r="L27" t="s">
        <v>20</v>
      </c>
      <c r="M27" s="2">
        <v>3184.4</v>
      </c>
      <c r="N27" s="2">
        <v>561</v>
      </c>
      <c r="P27" s="2">
        <v>1442</v>
      </c>
      <c r="Q27" s="13">
        <f t="shared" si="0"/>
        <v>0.38500560687777008</v>
      </c>
      <c r="R27" s="14">
        <f t="shared" si="1"/>
        <v>5187.3999999999996</v>
      </c>
      <c r="S27" s="15">
        <f t="shared" si="2"/>
        <v>6121.1319999999996</v>
      </c>
    </row>
    <row r="28" spans="1:19" x14ac:dyDescent="0.3">
      <c r="A28">
        <v>200010076</v>
      </c>
      <c r="B28">
        <v>273715040</v>
      </c>
      <c r="C28" s="11">
        <v>46230</v>
      </c>
      <c r="D28" s="1">
        <v>873942784342</v>
      </c>
      <c r="E28">
        <v>41471</v>
      </c>
      <c r="F28" t="s">
        <v>21</v>
      </c>
      <c r="G28" s="12">
        <v>5</v>
      </c>
      <c r="H28">
        <v>51</v>
      </c>
      <c r="I28">
        <v>24</v>
      </c>
      <c r="J28">
        <v>23</v>
      </c>
      <c r="K28" s="12">
        <v>5</v>
      </c>
      <c r="L28" t="s">
        <v>20</v>
      </c>
      <c r="M28" s="2">
        <v>2231.6999999999998</v>
      </c>
      <c r="N28" s="2">
        <v>330</v>
      </c>
      <c r="P28" s="2">
        <v>986.3</v>
      </c>
      <c r="Q28" s="13">
        <f t="shared" si="0"/>
        <v>0.38501776164265916</v>
      </c>
      <c r="R28" s="14">
        <f t="shared" si="1"/>
        <v>3548</v>
      </c>
      <c r="S28" s="15">
        <f t="shared" si="2"/>
        <v>4186.6399999999994</v>
      </c>
    </row>
    <row r="29" spans="1:19" x14ac:dyDescent="0.3">
      <c r="A29">
        <v>200010076</v>
      </c>
      <c r="B29">
        <v>273715040</v>
      </c>
      <c r="C29" s="11">
        <v>46230</v>
      </c>
      <c r="D29" s="1">
        <v>873942786003</v>
      </c>
      <c r="E29">
        <v>41341</v>
      </c>
      <c r="F29" t="s">
        <v>21</v>
      </c>
      <c r="G29" s="12">
        <v>5</v>
      </c>
      <c r="H29">
        <v>54</v>
      </c>
      <c r="I29">
        <v>23</v>
      </c>
      <c r="J29">
        <v>23</v>
      </c>
      <c r="K29" s="12">
        <v>5</v>
      </c>
      <c r="L29" t="s">
        <v>20</v>
      </c>
      <c r="M29" s="2">
        <v>2231.6999999999998</v>
      </c>
      <c r="N29" s="2">
        <v>330</v>
      </c>
      <c r="P29" s="2">
        <v>986.3</v>
      </c>
      <c r="Q29" s="13">
        <f t="shared" si="0"/>
        <v>0.38501776164265916</v>
      </c>
      <c r="R29" s="14">
        <f t="shared" si="1"/>
        <v>3548</v>
      </c>
      <c r="S29" s="15">
        <f t="shared" si="2"/>
        <v>4186.6399999999994</v>
      </c>
    </row>
    <row r="30" spans="1:19" x14ac:dyDescent="0.3">
      <c r="A30">
        <v>200010076</v>
      </c>
      <c r="B30">
        <v>273715040</v>
      </c>
      <c r="C30" s="11">
        <v>46230</v>
      </c>
      <c r="D30" s="1">
        <v>873942786047</v>
      </c>
      <c r="E30">
        <v>41497</v>
      </c>
      <c r="F30" t="s">
        <v>21</v>
      </c>
      <c r="G30" s="12">
        <v>6</v>
      </c>
      <c r="H30">
        <v>60</v>
      </c>
      <c r="I30">
        <v>25</v>
      </c>
      <c r="J30">
        <v>23</v>
      </c>
      <c r="K30" s="12">
        <v>6</v>
      </c>
      <c r="L30" t="s">
        <v>20</v>
      </c>
      <c r="M30" s="2">
        <v>2609.1</v>
      </c>
      <c r="N30" s="2">
        <v>396</v>
      </c>
      <c r="P30" s="2">
        <v>1157</v>
      </c>
      <c r="Q30" s="13">
        <f t="shared" si="0"/>
        <v>0.38501214601843536</v>
      </c>
      <c r="R30" s="14">
        <f t="shared" si="1"/>
        <v>4162.1000000000004</v>
      </c>
      <c r="S30" s="15">
        <f t="shared" si="2"/>
        <v>4911.2780000000002</v>
      </c>
    </row>
    <row r="31" spans="1:19" x14ac:dyDescent="0.3">
      <c r="A31">
        <v>200010076</v>
      </c>
      <c r="B31">
        <v>273715040</v>
      </c>
      <c r="C31" s="11">
        <v>46230</v>
      </c>
      <c r="D31" s="1">
        <v>873942786058</v>
      </c>
      <c r="E31">
        <v>40176</v>
      </c>
      <c r="F31" t="s">
        <v>21</v>
      </c>
      <c r="G31" s="12">
        <v>4</v>
      </c>
      <c r="H31">
        <v>63</v>
      </c>
      <c r="I31">
        <v>20</v>
      </c>
      <c r="J31">
        <v>18</v>
      </c>
      <c r="K31" s="12">
        <v>4</v>
      </c>
      <c r="L31" t="s">
        <v>20</v>
      </c>
      <c r="M31" s="2">
        <v>1966.1</v>
      </c>
      <c r="N31" s="2">
        <v>264</v>
      </c>
      <c r="P31" s="2">
        <v>858.6</v>
      </c>
      <c r="Q31" s="13">
        <f t="shared" si="0"/>
        <v>0.38500515671942964</v>
      </c>
      <c r="R31" s="14">
        <f t="shared" si="1"/>
        <v>3088.7</v>
      </c>
      <c r="S31" s="15">
        <f t="shared" si="2"/>
        <v>3644.6659999999997</v>
      </c>
    </row>
    <row r="32" spans="1:19" x14ac:dyDescent="0.3">
      <c r="A32">
        <v>200010076</v>
      </c>
      <c r="B32">
        <v>273715040</v>
      </c>
      <c r="C32" s="11">
        <v>46230</v>
      </c>
      <c r="D32" s="1">
        <v>873942788565</v>
      </c>
      <c r="E32">
        <v>41642</v>
      </c>
      <c r="F32" t="s">
        <v>21</v>
      </c>
      <c r="G32" s="12">
        <v>3.5</v>
      </c>
      <c r="H32">
        <v>57</v>
      </c>
      <c r="I32">
        <v>19</v>
      </c>
      <c r="J32">
        <v>18</v>
      </c>
      <c r="K32" s="12">
        <v>3.5</v>
      </c>
      <c r="L32" t="s">
        <v>20</v>
      </c>
      <c r="M32" s="2">
        <v>1833.3</v>
      </c>
      <c r="N32" s="2">
        <v>231</v>
      </c>
      <c r="P32" s="2">
        <v>794.8</v>
      </c>
      <c r="Q32" s="13">
        <f t="shared" si="0"/>
        <v>0.38502155694424256</v>
      </c>
      <c r="R32" s="14">
        <f t="shared" si="1"/>
        <v>2859.1000000000004</v>
      </c>
      <c r="S32" s="15">
        <f t="shared" si="2"/>
        <v>3373.7380000000003</v>
      </c>
    </row>
    <row r="33" spans="1:19" x14ac:dyDescent="0.3">
      <c r="A33">
        <v>200010076</v>
      </c>
      <c r="B33">
        <v>273715040</v>
      </c>
      <c r="C33" s="11">
        <v>46230</v>
      </c>
      <c r="D33" s="1">
        <v>873942788576</v>
      </c>
      <c r="E33">
        <v>41795</v>
      </c>
      <c r="F33" t="s">
        <v>21</v>
      </c>
      <c r="G33" s="12">
        <v>2</v>
      </c>
      <c r="H33">
        <v>55</v>
      </c>
      <c r="I33">
        <v>15</v>
      </c>
      <c r="J33">
        <v>13</v>
      </c>
      <c r="K33" s="12">
        <v>2</v>
      </c>
      <c r="L33" t="s">
        <v>20</v>
      </c>
      <c r="M33" s="2">
        <v>1512.5</v>
      </c>
      <c r="N33" s="2">
        <v>132</v>
      </c>
      <c r="P33" s="2">
        <v>633.1</v>
      </c>
      <c r="Q33" s="13">
        <f t="shared" si="0"/>
        <v>0.3849802371541502</v>
      </c>
      <c r="R33" s="14">
        <f t="shared" si="1"/>
        <v>2277.6</v>
      </c>
      <c r="S33" s="15">
        <f t="shared" si="2"/>
        <v>2687.5679999999998</v>
      </c>
    </row>
    <row r="34" spans="1:19" x14ac:dyDescent="0.3">
      <c r="A34">
        <v>200010076</v>
      </c>
      <c r="B34">
        <v>273715040</v>
      </c>
      <c r="C34" s="11">
        <v>46230</v>
      </c>
      <c r="D34" s="1">
        <v>873942788955</v>
      </c>
      <c r="E34">
        <v>41261</v>
      </c>
      <c r="F34" t="s">
        <v>21</v>
      </c>
      <c r="G34" s="12">
        <v>7.5</v>
      </c>
      <c r="H34">
        <v>60</v>
      </c>
      <c r="I34">
        <v>27</v>
      </c>
      <c r="J34">
        <v>27</v>
      </c>
      <c r="K34" s="12">
        <v>7.5</v>
      </c>
      <c r="L34" t="s">
        <v>20</v>
      </c>
      <c r="M34" s="2">
        <v>2954.2</v>
      </c>
      <c r="N34" s="2">
        <v>495</v>
      </c>
      <c r="P34" s="2">
        <v>1327.9</v>
      </c>
      <c r="Q34" s="13">
        <f t="shared" si="0"/>
        <v>0.38498782326336545</v>
      </c>
      <c r="R34" s="14">
        <f t="shared" si="1"/>
        <v>4777.1000000000004</v>
      </c>
      <c r="S34" s="15">
        <f t="shared" si="2"/>
        <v>5636.9780000000001</v>
      </c>
    </row>
    <row r="35" spans="1:19" x14ac:dyDescent="0.3">
      <c r="A35">
        <v>200010076</v>
      </c>
      <c r="B35">
        <v>273715040</v>
      </c>
      <c r="C35" s="11">
        <v>46230</v>
      </c>
      <c r="D35" s="1">
        <v>873942789322</v>
      </c>
      <c r="E35">
        <v>38700</v>
      </c>
      <c r="F35" t="s">
        <v>21</v>
      </c>
      <c r="G35" s="12">
        <v>10.5</v>
      </c>
      <c r="H35">
        <v>62</v>
      </c>
      <c r="I35">
        <v>32</v>
      </c>
      <c r="J35">
        <v>31</v>
      </c>
      <c r="K35" s="12">
        <v>10.5</v>
      </c>
      <c r="L35" t="s">
        <v>20</v>
      </c>
      <c r="M35" s="2">
        <v>4575.1000000000004</v>
      </c>
      <c r="N35" s="2">
        <v>693</v>
      </c>
      <c r="P35" s="2">
        <v>2028.2</v>
      </c>
      <c r="Q35" s="13">
        <f t="shared" si="0"/>
        <v>0.38499648829748861</v>
      </c>
      <c r="R35" s="14">
        <f t="shared" si="1"/>
        <v>7296.3</v>
      </c>
      <c r="S35" s="15">
        <f t="shared" si="2"/>
        <v>8609.634</v>
      </c>
    </row>
    <row r="36" spans="1:19" x14ac:dyDescent="0.3">
      <c r="A36">
        <v>200010076</v>
      </c>
      <c r="B36">
        <v>273715040</v>
      </c>
      <c r="C36" s="11">
        <v>46230</v>
      </c>
      <c r="D36" s="1">
        <v>873942789539</v>
      </c>
      <c r="E36">
        <v>39665</v>
      </c>
      <c r="F36" t="s">
        <v>21</v>
      </c>
      <c r="G36" s="12">
        <v>2</v>
      </c>
      <c r="H36">
        <v>48</v>
      </c>
      <c r="I36">
        <v>15</v>
      </c>
      <c r="J36">
        <v>14</v>
      </c>
      <c r="K36" s="12">
        <v>2</v>
      </c>
      <c r="L36" t="s">
        <v>20</v>
      </c>
      <c r="M36" s="2">
        <v>1512.5</v>
      </c>
      <c r="N36" s="2">
        <v>132</v>
      </c>
      <c r="P36" s="2">
        <v>633.1</v>
      </c>
      <c r="Q36" s="13">
        <f t="shared" si="0"/>
        <v>0.3849802371541502</v>
      </c>
      <c r="R36" s="14">
        <f t="shared" si="1"/>
        <v>2277.6</v>
      </c>
      <c r="S36" s="15">
        <f t="shared" si="2"/>
        <v>2687.5679999999998</v>
      </c>
    </row>
    <row r="37" spans="1:19" x14ac:dyDescent="0.3">
      <c r="A37">
        <v>200010076</v>
      </c>
      <c r="B37">
        <v>273715040</v>
      </c>
      <c r="C37" s="11">
        <v>46230</v>
      </c>
      <c r="D37" s="1">
        <v>873942790017</v>
      </c>
      <c r="E37">
        <v>41613</v>
      </c>
      <c r="F37" t="s">
        <v>21</v>
      </c>
      <c r="G37" s="12">
        <v>10</v>
      </c>
      <c r="H37">
        <v>35</v>
      </c>
      <c r="I37">
        <v>35</v>
      </c>
      <c r="J37">
        <v>16</v>
      </c>
      <c r="K37" s="12">
        <v>10</v>
      </c>
      <c r="L37" t="s">
        <v>20</v>
      </c>
      <c r="M37" s="2">
        <v>3529.5</v>
      </c>
      <c r="N37" s="2">
        <v>660</v>
      </c>
      <c r="P37" s="2">
        <v>1613</v>
      </c>
      <c r="Q37" s="13">
        <f t="shared" si="0"/>
        <v>0.38501014440864068</v>
      </c>
      <c r="R37" s="14">
        <f t="shared" si="1"/>
        <v>5802.5</v>
      </c>
      <c r="S37" s="15">
        <f t="shared" si="2"/>
        <v>6846.95</v>
      </c>
    </row>
    <row r="38" spans="1:19" x14ac:dyDescent="0.3">
      <c r="A38">
        <v>200010076</v>
      </c>
      <c r="B38">
        <v>273715040</v>
      </c>
      <c r="C38" s="11">
        <v>46230</v>
      </c>
      <c r="D38" s="1">
        <v>873942790223</v>
      </c>
      <c r="E38">
        <v>4097610237</v>
      </c>
      <c r="F38" t="s">
        <v>21</v>
      </c>
      <c r="G38" s="12">
        <v>6</v>
      </c>
      <c r="H38">
        <v>52</v>
      </c>
      <c r="I38">
        <v>25</v>
      </c>
      <c r="J38">
        <v>25</v>
      </c>
      <c r="K38" s="12">
        <v>6</v>
      </c>
      <c r="L38" t="s">
        <v>20</v>
      </c>
      <c r="M38" s="2">
        <v>2609.1</v>
      </c>
      <c r="N38" s="2">
        <v>396</v>
      </c>
      <c r="P38" s="2">
        <v>1157</v>
      </c>
      <c r="Q38" s="13">
        <f t="shared" si="0"/>
        <v>0.38501214601843536</v>
      </c>
      <c r="R38" s="14">
        <f t="shared" si="1"/>
        <v>4162.1000000000004</v>
      </c>
      <c r="S38" s="15">
        <f t="shared" si="2"/>
        <v>4911.2780000000002</v>
      </c>
    </row>
    <row r="39" spans="1:19" x14ac:dyDescent="0.3">
      <c r="A39">
        <v>200010076</v>
      </c>
      <c r="B39">
        <v>273715040</v>
      </c>
      <c r="C39" s="11">
        <v>46230</v>
      </c>
      <c r="D39" s="1">
        <v>873942790407</v>
      </c>
      <c r="E39">
        <v>41807</v>
      </c>
      <c r="F39" t="s">
        <v>21</v>
      </c>
      <c r="G39" s="12">
        <v>2</v>
      </c>
      <c r="H39">
        <v>43</v>
      </c>
      <c r="I39">
        <v>16</v>
      </c>
      <c r="J39">
        <v>14</v>
      </c>
      <c r="K39" s="12">
        <v>2</v>
      </c>
      <c r="L39" t="s">
        <v>20</v>
      </c>
      <c r="M39" s="2">
        <v>1512.5</v>
      </c>
      <c r="N39" s="2">
        <v>132</v>
      </c>
      <c r="P39" s="2">
        <v>633.1</v>
      </c>
      <c r="Q39" s="13">
        <f t="shared" si="0"/>
        <v>0.3849802371541502</v>
      </c>
      <c r="R39" s="14">
        <f t="shared" si="1"/>
        <v>2277.6</v>
      </c>
      <c r="S39" s="15">
        <f t="shared" si="2"/>
        <v>2687.5679999999998</v>
      </c>
    </row>
    <row r="40" spans="1:19" x14ac:dyDescent="0.3">
      <c r="A40">
        <v>200010076</v>
      </c>
      <c r="B40">
        <v>273715040</v>
      </c>
      <c r="C40" s="11">
        <v>46230</v>
      </c>
      <c r="D40" s="1">
        <v>873942790473</v>
      </c>
      <c r="E40">
        <v>41735</v>
      </c>
      <c r="F40" t="s">
        <v>21</v>
      </c>
      <c r="G40" s="12">
        <v>2.5</v>
      </c>
      <c r="H40">
        <v>57</v>
      </c>
      <c r="I40">
        <v>15</v>
      </c>
      <c r="J40">
        <v>14</v>
      </c>
      <c r="K40" s="12">
        <v>2.5</v>
      </c>
      <c r="L40" t="s">
        <v>20</v>
      </c>
      <c r="M40" s="2">
        <v>1671.3</v>
      </c>
      <c r="N40" s="2">
        <v>165</v>
      </c>
      <c r="P40" s="2">
        <v>707</v>
      </c>
      <c r="Q40" s="13">
        <f t="shared" si="0"/>
        <v>0.38501334204650656</v>
      </c>
      <c r="R40" s="14">
        <f t="shared" si="1"/>
        <v>2543.3000000000002</v>
      </c>
      <c r="S40" s="15">
        <f t="shared" si="2"/>
        <v>3001.0940000000001</v>
      </c>
    </row>
    <row r="41" spans="1:19" x14ac:dyDescent="0.3">
      <c r="A41">
        <v>200010076</v>
      </c>
      <c r="B41">
        <v>273715040</v>
      </c>
      <c r="C41" s="11">
        <v>46230</v>
      </c>
      <c r="D41" s="1">
        <v>873942791263</v>
      </c>
      <c r="E41">
        <v>39570</v>
      </c>
      <c r="F41" t="s">
        <v>21</v>
      </c>
      <c r="G41" s="12">
        <v>9.5</v>
      </c>
      <c r="H41">
        <v>62</v>
      </c>
      <c r="I41">
        <v>30</v>
      </c>
      <c r="J41">
        <v>29</v>
      </c>
      <c r="K41" s="12">
        <v>9.5</v>
      </c>
      <c r="L41" t="s">
        <v>20</v>
      </c>
      <c r="M41" s="2">
        <v>3414.5</v>
      </c>
      <c r="N41" s="2">
        <v>627</v>
      </c>
      <c r="P41" s="2">
        <v>1556</v>
      </c>
      <c r="Q41" s="13">
        <f t="shared" si="0"/>
        <v>0.38500556723988616</v>
      </c>
      <c r="R41" s="14">
        <f t="shared" si="1"/>
        <v>5597.5</v>
      </c>
      <c r="S41" s="15">
        <f t="shared" si="2"/>
        <v>6605.0499999999993</v>
      </c>
    </row>
    <row r="42" spans="1:19" x14ac:dyDescent="0.3">
      <c r="A42">
        <v>200010076</v>
      </c>
      <c r="B42">
        <v>273715040</v>
      </c>
      <c r="C42" s="11">
        <v>46230</v>
      </c>
      <c r="D42" s="1">
        <v>873942791550</v>
      </c>
      <c r="E42">
        <v>4095843370</v>
      </c>
      <c r="F42" t="s">
        <v>21</v>
      </c>
      <c r="G42" s="12">
        <v>3.5</v>
      </c>
      <c r="H42">
        <v>55</v>
      </c>
      <c r="I42">
        <v>19</v>
      </c>
      <c r="J42">
        <v>19</v>
      </c>
      <c r="K42" s="12">
        <v>3.5</v>
      </c>
      <c r="L42" t="s">
        <v>20</v>
      </c>
      <c r="M42" s="2">
        <v>1833.3</v>
      </c>
      <c r="N42" s="2">
        <v>231</v>
      </c>
      <c r="P42" s="2">
        <v>794.8</v>
      </c>
      <c r="Q42" s="13">
        <f t="shared" si="0"/>
        <v>0.38502155694424256</v>
      </c>
      <c r="R42" s="14">
        <f t="shared" si="1"/>
        <v>2859.1000000000004</v>
      </c>
      <c r="S42" s="15">
        <f t="shared" si="2"/>
        <v>3373.7380000000003</v>
      </c>
    </row>
    <row r="43" spans="1:19" x14ac:dyDescent="0.3">
      <c r="A43">
        <v>200010076</v>
      </c>
      <c r="B43">
        <v>273715040</v>
      </c>
      <c r="C43" s="11">
        <v>46230</v>
      </c>
      <c r="D43" s="1">
        <v>873942792204</v>
      </c>
      <c r="E43">
        <v>40435</v>
      </c>
      <c r="F43" t="s">
        <v>21</v>
      </c>
      <c r="G43" s="12">
        <v>2</v>
      </c>
      <c r="H43">
        <v>43</v>
      </c>
      <c r="I43">
        <v>16</v>
      </c>
      <c r="J43">
        <v>14</v>
      </c>
      <c r="K43" s="12">
        <v>2</v>
      </c>
      <c r="L43" t="s">
        <v>20</v>
      </c>
      <c r="M43" s="2">
        <v>1512.5</v>
      </c>
      <c r="N43" s="2">
        <v>132</v>
      </c>
      <c r="P43" s="2">
        <v>633.1</v>
      </c>
      <c r="Q43" s="13">
        <f t="shared" si="0"/>
        <v>0.3849802371541502</v>
      </c>
      <c r="R43" s="14">
        <f t="shared" si="1"/>
        <v>2277.6</v>
      </c>
      <c r="S43" s="15">
        <f t="shared" si="2"/>
        <v>2687.5679999999998</v>
      </c>
    </row>
    <row r="44" spans="1:19" x14ac:dyDescent="0.3">
      <c r="A44">
        <v>200010076</v>
      </c>
      <c r="B44">
        <v>273715040</v>
      </c>
      <c r="C44" s="11">
        <v>46230</v>
      </c>
      <c r="D44" s="1">
        <v>873888236092</v>
      </c>
      <c r="E44">
        <v>42030</v>
      </c>
      <c r="F44" t="s">
        <v>21</v>
      </c>
      <c r="G44" s="12">
        <v>0.5</v>
      </c>
      <c r="K44" s="12">
        <v>0</v>
      </c>
      <c r="L44" t="s">
        <v>20</v>
      </c>
      <c r="M44" s="2">
        <v>1031.7</v>
      </c>
      <c r="N44" s="2">
        <v>42.5</v>
      </c>
      <c r="P44" s="2">
        <v>413.6</v>
      </c>
      <c r="Q44" s="13">
        <f t="shared" si="0"/>
        <v>0.38503072053621301</v>
      </c>
      <c r="R44" s="14">
        <f t="shared" si="1"/>
        <v>1487.8000000000002</v>
      </c>
      <c r="S44" s="15">
        <f t="shared" si="2"/>
        <v>1755.604</v>
      </c>
    </row>
    <row r="45" spans="1:19" x14ac:dyDescent="0.3">
      <c r="A45">
        <v>200010076</v>
      </c>
      <c r="B45">
        <v>273715040</v>
      </c>
      <c r="C45" s="11">
        <v>46230</v>
      </c>
      <c r="D45" s="1">
        <v>873942768725</v>
      </c>
      <c r="E45">
        <v>42183</v>
      </c>
      <c r="F45" t="s">
        <v>21</v>
      </c>
      <c r="G45" s="12">
        <v>0.5</v>
      </c>
      <c r="K45" s="12">
        <v>0</v>
      </c>
      <c r="L45" t="s">
        <v>20</v>
      </c>
      <c r="M45" s="2">
        <v>1031.7</v>
      </c>
      <c r="N45" s="2">
        <v>42.5</v>
      </c>
      <c r="P45" s="2">
        <v>413.6</v>
      </c>
      <c r="Q45" s="13">
        <f t="shared" si="0"/>
        <v>0.38503072053621301</v>
      </c>
      <c r="R45" s="14">
        <f t="shared" si="1"/>
        <v>1487.8000000000002</v>
      </c>
      <c r="S45" s="15">
        <f t="shared" si="2"/>
        <v>1755.604</v>
      </c>
    </row>
    <row r="46" spans="1:19" x14ac:dyDescent="0.3">
      <c r="A46">
        <v>200010076</v>
      </c>
      <c r="B46">
        <v>273715040</v>
      </c>
      <c r="C46" s="11">
        <v>46230</v>
      </c>
      <c r="D46" s="1">
        <v>873942768747</v>
      </c>
      <c r="E46">
        <v>4105007704</v>
      </c>
      <c r="F46" t="s">
        <v>21</v>
      </c>
      <c r="G46" s="12">
        <v>0.5</v>
      </c>
      <c r="K46" s="12">
        <v>0</v>
      </c>
      <c r="L46" t="s">
        <v>20</v>
      </c>
      <c r="M46" s="2">
        <v>1031.7</v>
      </c>
      <c r="N46" s="2">
        <v>42.5</v>
      </c>
      <c r="P46" s="2">
        <v>413.6</v>
      </c>
      <c r="Q46" s="13">
        <f t="shared" si="0"/>
        <v>0.38503072053621301</v>
      </c>
      <c r="R46" s="14">
        <f t="shared" si="1"/>
        <v>1487.8000000000002</v>
      </c>
      <c r="S46" s="15">
        <f t="shared" si="2"/>
        <v>1755.604</v>
      </c>
    </row>
    <row r="47" spans="1:19" x14ac:dyDescent="0.3">
      <c r="A47">
        <v>200010076</v>
      </c>
      <c r="B47">
        <v>273715040</v>
      </c>
      <c r="C47" s="11">
        <v>46230</v>
      </c>
      <c r="D47" s="1">
        <v>873942769272</v>
      </c>
      <c r="E47">
        <v>42158</v>
      </c>
      <c r="F47" t="s">
        <v>21</v>
      </c>
      <c r="G47" s="12">
        <v>0.5</v>
      </c>
      <c r="K47" s="12">
        <v>0</v>
      </c>
      <c r="L47" t="s">
        <v>20</v>
      </c>
      <c r="M47" s="2">
        <v>1031.7</v>
      </c>
      <c r="N47" s="2">
        <v>42.5</v>
      </c>
      <c r="P47" s="2">
        <v>413.6</v>
      </c>
      <c r="Q47" s="13">
        <f t="shared" si="0"/>
        <v>0.38503072053621301</v>
      </c>
      <c r="R47" s="14">
        <f t="shared" si="1"/>
        <v>1487.8000000000002</v>
      </c>
      <c r="S47" s="15">
        <f t="shared" si="2"/>
        <v>1755.604</v>
      </c>
    </row>
    <row r="48" spans="1:19" x14ac:dyDescent="0.3">
      <c r="A48">
        <v>200010076</v>
      </c>
      <c r="B48">
        <v>273715040</v>
      </c>
      <c r="C48" s="11">
        <v>46230</v>
      </c>
      <c r="D48" s="1">
        <v>873942771710</v>
      </c>
      <c r="E48">
        <v>42170</v>
      </c>
      <c r="F48" t="s">
        <v>21</v>
      </c>
      <c r="G48" s="12">
        <v>0.5</v>
      </c>
      <c r="K48" s="12">
        <v>0</v>
      </c>
      <c r="L48" t="s">
        <v>20</v>
      </c>
      <c r="M48" s="2">
        <v>1031.7</v>
      </c>
      <c r="N48" s="2">
        <v>42.5</v>
      </c>
      <c r="P48" s="2">
        <v>413.6</v>
      </c>
      <c r="Q48" s="13">
        <f t="shared" si="0"/>
        <v>0.38503072053621301</v>
      </c>
      <c r="R48" s="14">
        <f t="shared" si="1"/>
        <v>1487.8000000000002</v>
      </c>
      <c r="S48" s="15">
        <f t="shared" si="2"/>
        <v>1755.604</v>
      </c>
    </row>
    <row r="49" spans="1:19" x14ac:dyDescent="0.3">
      <c r="A49">
        <v>200010076</v>
      </c>
      <c r="B49">
        <v>273715040</v>
      </c>
      <c r="C49" s="11">
        <v>46230</v>
      </c>
      <c r="D49" s="1">
        <v>873942773106</v>
      </c>
      <c r="E49">
        <v>42154</v>
      </c>
      <c r="F49" t="s">
        <v>21</v>
      </c>
      <c r="G49" s="12">
        <v>0.5</v>
      </c>
      <c r="K49" s="12">
        <v>0</v>
      </c>
      <c r="L49" t="s">
        <v>20</v>
      </c>
      <c r="M49" s="2">
        <v>1031.7</v>
      </c>
      <c r="N49" s="2">
        <v>42.5</v>
      </c>
      <c r="P49" s="2">
        <v>413.6</v>
      </c>
      <c r="Q49" s="13">
        <f t="shared" si="0"/>
        <v>0.38503072053621301</v>
      </c>
      <c r="R49" s="14">
        <f t="shared" si="1"/>
        <v>1487.8000000000002</v>
      </c>
      <c r="S49" s="15">
        <f t="shared" si="2"/>
        <v>1755.604</v>
      </c>
    </row>
    <row r="50" spans="1:19" x14ac:dyDescent="0.3">
      <c r="A50">
        <v>200010076</v>
      </c>
      <c r="B50">
        <v>273715040</v>
      </c>
      <c r="C50" s="11">
        <v>46230</v>
      </c>
      <c r="D50" s="1">
        <v>873942774146</v>
      </c>
      <c r="E50">
        <v>4106634329</v>
      </c>
      <c r="F50" t="s">
        <v>21</v>
      </c>
      <c r="G50" s="12">
        <v>0.5</v>
      </c>
      <c r="K50" s="12">
        <v>0</v>
      </c>
      <c r="L50" t="s">
        <v>20</v>
      </c>
      <c r="M50" s="2">
        <v>1031.7</v>
      </c>
      <c r="N50" s="2">
        <v>42.5</v>
      </c>
      <c r="P50" s="2">
        <v>413.6</v>
      </c>
      <c r="Q50" s="13">
        <f t="shared" si="0"/>
        <v>0.38503072053621301</v>
      </c>
      <c r="R50" s="14">
        <f t="shared" si="1"/>
        <v>1487.8000000000002</v>
      </c>
      <c r="S50" s="15">
        <f t="shared" si="2"/>
        <v>1755.604</v>
      </c>
    </row>
    <row r="51" spans="1:19" x14ac:dyDescent="0.3">
      <c r="A51">
        <v>200010076</v>
      </c>
      <c r="B51">
        <v>273715040</v>
      </c>
      <c r="C51" s="11">
        <v>46230</v>
      </c>
      <c r="D51" s="1">
        <v>873942779126</v>
      </c>
      <c r="E51">
        <v>41780</v>
      </c>
      <c r="F51" t="s">
        <v>21</v>
      </c>
      <c r="G51" s="12">
        <v>0.5</v>
      </c>
      <c r="K51" s="12">
        <v>0</v>
      </c>
      <c r="L51" t="s">
        <v>20</v>
      </c>
      <c r="M51" s="2">
        <v>1031.7</v>
      </c>
      <c r="N51" s="2">
        <v>42.5</v>
      </c>
      <c r="P51" s="2">
        <v>413.6</v>
      </c>
      <c r="Q51" s="13">
        <f t="shared" si="0"/>
        <v>0.38503072053621301</v>
      </c>
      <c r="R51" s="14">
        <f t="shared" si="1"/>
        <v>1487.8000000000002</v>
      </c>
      <c r="S51" s="15">
        <f t="shared" si="2"/>
        <v>1755.604</v>
      </c>
    </row>
    <row r="52" spans="1:19" x14ac:dyDescent="0.3">
      <c r="A52">
        <v>200010076</v>
      </c>
      <c r="B52">
        <v>273715040</v>
      </c>
      <c r="C52" s="11">
        <v>46230</v>
      </c>
      <c r="D52" s="1">
        <v>873942782085</v>
      </c>
      <c r="E52">
        <v>4102572457</v>
      </c>
      <c r="F52" t="s">
        <v>21</v>
      </c>
      <c r="G52" s="12">
        <v>0.5</v>
      </c>
      <c r="K52" s="12">
        <v>0</v>
      </c>
      <c r="L52" t="s">
        <v>20</v>
      </c>
      <c r="M52" s="2">
        <v>1031.7</v>
      </c>
      <c r="N52" s="2">
        <v>42.5</v>
      </c>
      <c r="P52" s="2">
        <v>413.6</v>
      </c>
      <c r="Q52" s="13">
        <f t="shared" si="0"/>
        <v>0.38503072053621301</v>
      </c>
      <c r="R52" s="14">
        <f t="shared" si="1"/>
        <v>1487.8000000000002</v>
      </c>
      <c r="S52" s="15">
        <f t="shared" si="2"/>
        <v>1755.604</v>
      </c>
    </row>
    <row r="53" spans="1:19" x14ac:dyDescent="0.3">
      <c r="A53">
        <v>200010076</v>
      </c>
      <c r="B53">
        <v>273715040</v>
      </c>
      <c r="C53" s="11">
        <v>46230</v>
      </c>
      <c r="D53" s="1">
        <v>873942783471</v>
      </c>
      <c r="E53">
        <v>4105562228</v>
      </c>
      <c r="F53" t="s">
        <v>21</v>
      </c>
      <c r="G53" s="12">
        <v>0.5</v>
      </c>
      <c r="K53" s="12">
        <v>0</v>
      </c>
      <c r="L53" t="s">
        <v>20</v>
      </c>
      <c r="M53" s="2">
        <v>1031.7</v>
      </c>
      <c r="N53" s="2">
        <v>42.5</v>
      </c>
      <c r="P53" s="2">
        <v>413.6</v>
      </c>
      <c r="Q53" s="13">
        <f t="shared" si="0"/>
        <v>0.38503072053621301</v>
      </c>
      <c r="R53" s="14">
        <f t="shared" si="1"/>
        <v>1487.8000000000002</v>
      </c>
      <c r="S53" s="15">
        <f t="shared" si="2"/>
        <v>1755.604</v>
      </c>
    </row>
    <row r="54" spans="1:19" x14ac:dyDescent="0.3">
      <c r="A54">
        <v>200010076</v>
      </c>
      <c r="B54">
        <v>273715040</v>
      </c>
      <c r="C54" s="11">
        <v>46230</v>
      </c>
      <c r="D54" s="1">
        <v>873942789105</v>
      </c>
      <c r="E54">
        <v>42180</v>
      </c>
      <c r="F54" t="s">
        <v>21</v>
      </c>
      <c r="G54" s="12">
        <v>0.5</v>
      </c>
      <c r="K54" s="12">
        <v>0</v>
      </c>
      <c r="L54" t="s">
        <v>20</v>
      </c>
      <c r="M54" s="2">
        <v>1031.7</v>
      </c>
      <c r="N54" s="2">
        <v>42.5</v>
      </c>
      <c r="P54" s="2">
        <v>413.6</v>
      </c>
      <c r="Q54" s="13">
        <f t="shared" si="0"/>
        <v>0.38503072053621301</v>
      </c>
      <c r="R54" s="14">
        <f t="shared" si="1"/>
        <v>1487.8000000000002</v>
      </c>
      <c r="S54" s="15">
        <f t="shared" si="2"/>
        <v>1755.604</v>
      </c>
    </row>
    <row r="55" spans="1:19" x14ac:dyDescent="0.3">
      <c r="A55">
        <v>200010076</v>
      </c>
      <c r="B55">
        <v>273715040</v>
      </c>
      <c r="C55" s="11">
        <v>46230</v>
      </c>
      <c r="D55" s="1">
        <v>873942790359</v>
      </c>
      <c r="E55">
        <v>42188</v>
      </c>
      <c r="F55" t="s">
        <v>21</v>
      </c>
      <c r="G55" s="12">
        <v>0.5</v>
      </c>
      <c r="K55" s="12">
        <v>0</v>
      </c>
      <c r="L55" t="s">
        <v>20</v>
      </c>
      <c r="M55" s="2">
        <v>1031.7</v>
      </c>
      <c r="N55" s="2">
        <v>42.5</v>
      </c>
      <c r="P55" s="2">
        <v>413.6</v>
      </c>
      <c r="Q55" s="13">
        <f t="shared" si="0"/>
        <v>0.38503072053621301</v>
      </c>
      <c r="R55" s="14">
        <f t="shared" si="1"/>
        <v>1487.8000000000002</v>
      </c>
      <c r="S55" s="15">
        <f t="shared" si="2"/>
        <v>1755.604</v>
      </c>
    </row>
    <row r="56" spans="1:19" x14ac:dyDescent="0.3">
      <c r="A56">
        <v>200010076</v>
      </c>
      <c r="B56">
        <v>273715040</v>
      </c>
      <c r="C56" s="11">
        <v>46230</v>
      </c>
      <c r="D56" s="1">
        <v>873942790896</v>
      </c>
      <c r="E56">
        <v>42182</v>
      </c>
      <c r="F56" t="s">
        <v>21</v>
      </c>
      <c r="G56" s="12">
        <v>0.5</v>
      </c>
      <c r="K56" s="12">
        <v>0</v>
      </c>
      <c r="L56" t="s">
        <v>20</v>
      </c>
      <c r="M56" s="2">
        <v>1031.7</v>
      </c>
      <c r="N56" s="2">
        <v>42.5</v>
      </c>
      <c r="P56" s="2">
        <v>413.6</v>
      </c>
      <c r="Q56" s="13">
        <f t="shared" si="0"/>
        <v>0.38503072053621301</v>
      </c>
      <c r="R56" s="14">
        <f t="shared" si="1"/>
        <v>1487.8000000000002</v>
      </c>
      <c r="S56" s="15">
        <f t="shared" si="2"/>
        <v>1755.604</v>
      </c>
    </row>
    <row r="57" spans="1:19" x14ac:dyDescent="0.3">
      <c r="A57">
        <v>200010076</v>
      </c>
      <c r="B57">
        <v>273715040</v>
      </c>
      <c r="C57" s="11">
        <v>46230</v>
      </c>
      <c r="D57" s="1">
        <v>873942791734</v>
      </c>
      <c r="E57">
        <v>42181</v>
      </c>
      <c r="F57" t="s">
        <v>21</v>
      </c>
      <c r="G57" s="12">
        <v>0.5</v>
      </c>
      <c r="K57" s="12">
        <v>0</v>
      </c>
      <c r="L57" t="s">
        <v>20</v>
      </c>
      <c r="M57" s="2">
        <v>1031.7</v>
      </c>
      <c r="N57" s="2">
        <v>42.5</v>
      </c>
      <c r="P57" s="2">
        <v>413.6</v>
      </c>
      <c r="Q57" s="13">
        <f t="shared" si="0"/>
        <v>0.38503072053621301</v>
      </c>
      <c r="R57" s="14">
        <f t="shared" si="1"/>
        <v>1487.8000000000002</v>
      </c>
      <c r="S57" s="15">
        <f t="shared" si="2"/>
        <v>1755.604</v>
      </c>
    </row>
    <row r="58" spans="1:19" x14ac:dyDescent="0.3">
      <c r="A58">
        <v>200010076</v>
      </c>
      <c r="B58">
        <v>273715040</v>
      </c>
      <c r="C58" s="11">
        <v>46230</v>
      </c>
      <c r="D58" s="1">
        <v>873929051491</v>
      </c>
      <c r="E58">
        <v>41219</v>
      </c>
      <c r="F58" t="s">
        <v>22</v>
      </c>
      <c r="G58" s="12">
        <v>2</v>
      </c>
      <c r="H58">
        <v>53</v>
      </c>
      <c r="I58">
        <v>18</v>
      </c>
      <c r="J58">
        <v>15</v>
      </c>
      <c r="K58" s="12">
        <v>2.4</v>
      </c>
      <c r="L58" t="s">
        <v>20</v>
      </c>
      <c r="M58" s="2">
        <v>1671.3</v>
      </c>
      <c r="N58" s="2">
        <v>165</v>
      </c>
      <c r="P58" s="2">
        <v>707</v>
      </c>
      <c r="Q58" s="13">
        <f t="shared" si="0"/>
        <v>0.38501334204650656</v>
      </c>
      <c r="R58" s="14">
        <f t="shared" si="1"/>
        <v>2543.3000000000002</v>
      </c>
      <c r="S58" s="15">
        <f t="shared" si="2"/>
        <v>3001.0940000000001</v>
      </c>
    </row>
    <row r="59" spans="1:19" x14ac:dyDescent="0.3">
      <c r="A59">
        <v>200010076</v>
      </c>
      <c r="B59">
        <v>273715040</v>
      </c>
      <c r="C59" s="11">
        <v>46230</v>
      </c>
      <c r="D59" s="1">
        <v>873929051024</v>
      </c>
      <c r="E59">
        <v>42088</v>
      </c>
      <c r="F59" t="s">
        <v>22</v>
      </c>
      <c r="G59" s="12">
        <v>0.5</v>
      </c>
      <c r="K59" s="12">
        <v>0</v>
      </c>
      <c r="L59" t="s">
        <v>20</v>
      </c>
      <c r="M59" s="2">
        <v>1031.7</v>
      </c>
      <c r="N59" s="2">
        <v>42.5</v>
      </c>
      <c r="P59" s="2">
        <v>413.6</v>
      </c>
      <c r="Q59" s="13">
        <f t="shared" si="0"/>
        <v>0.38503072053621301</v>
      </c>
      <c r="R59" s="14">
        <f t="shared" si="1"/>
        <v>1487.8000000000002</v>
      </c>
      <c r="S59" s="15">
        <f t="shared" si="2"/>
        <v>1755.604</v>
      </c>
    </row>
    <row r="60" spans="1:19" x14ac:dyDescent="0.3">
      <c r="A60">
        <v>200010076</v>
      </c>
      <c r="B60">
        <v>273715040</v>
      </c>
      <c r="C60" s="11">
        <v>46230</v>
      </c>
      <c r="D60" s="1">
        <v>874110600942</v>
      </c>
      <c r="E60">
        <v>39300</v>
      </c>
      <c r="F60" t="s">
        <v>23</v>
      </c>
      <c r="G60" s="12">
        <v>5</v>
      </c>
      <c r="H60">
        <v>61</v>
      </c>
      <c r="I60">
        <v>22</v>
      </c>
      <c r="J60">
        <v>21</v>
      </c>
      <c r="K60" s="12">
        <v>5</v>
      </c>
      <c r="L60" t="s">
        <v>20</v>
      </c>
      <c r="M60" s="2">
        <v>2231.6999999999998</v>
      </c>
      <c r="N60" s="2">
        <v>330</v>
      </c>
      <c r="P60" s="2">
        <v>979.9</v>
      </c>
      <c r="Q60" s="13">
        <f t="shared" si="0"/>
        <v>0.3825194206971933</v>
      </c>
      <c r="R60" s="14">
        <f t="shared" si="1"/>
        <v>3541.6</v>
      </c>
      <c r="S60" s="15">
        <f t="shared" si="2"/>
        <v>4179.0879999999997</v>
      </c>
    </row>
    <row r="61" spans="1:19" x14ac:dyDescent="0.3">
      <c r="A61">
        <v>200010076</v>
      </c>
      <c r="B61">
        <v>273715040</v>
      </c>
      <c r="C61" s="11">
        <v>46230</v>
      </c>
      <c r="D61" s="1">
        <v>874110611630</v>
      </c>
      <c r="E61">
        <v>38438</v>
      </c>
      <c r="F61" t="s">
        <v>23</v>
      </c>
      <c r="G61" s="12">
        <v>26</v>
      </c>
      <c r="H61">
        <v>66</v>
      </c>
      <c r="I61">
        <v>50</v>
      </c>
      <c r="J61">
        <v>46</v>
      </c>
      <c r="K61" s="12">
        <v>26</v>
      </c>
      <c r="L61" t="s">
        <v>20</v>
      </c>
      <c r="M61" s="2">
        <v>10283.700000000001</v>
      </c>
      <c r="N61" s="2">
        <v>1716</v>
      </c>
      <c r="O61" s="2">
        <v>2235</v>
      </c>
      <c r="P61" s="2">
        <v>5444.8</v>
      </c>
      <c r="Q61" s="13">
        <f t="shared" si="0"/>
        <v>0.38250191433609421</v>
      </c>
      <c r="R61" s="14">
        <f t="shared" si="1"/>
        <v>19679.5</v>
      </c>
      <c r="S61" s="15">
        <f t="shared" si="2"/>
        <v>23221.809999999998</v>
      </c>
    </row>
    <row r="62" spans="1:19" x14ac:dyDescent="0.3">
      <c r="A62">
        <v>200010076</v>
      </c>
      <c r="B62">
        <v>273715040</v>
      </c>
      <c r="C62" s="11">
        <v>46230</v>
      </c>
      <c r="D62" s="1">
        <v>874110615680</v>
      </c>
      <c r="E62">
        <v>40961</v>
      </c>
      <c r="F62" t="s">
        <v>23</v>
      </c>
      <c r="G62" s="12">
        <v>2.4900000000000002</v>
      </c>
      <c r="H62">
        <v>47</v>
      </c>
      <c r="I62">
        <v>20</v>
      </c>
      <c r="J62">
        <v>19</v>
      </c>
      <c r="K62" s="12">
        <v>3</v>
      </c>
      <c r="L62" t="s">
        <v>20</v>
      </c>
      <c r="M62" s="2">
        <v>1700.6</v>
      </c>
      <c r="N62" s="2">
        <v>198</v>
      </c>
      <c r="P62" s="2">
        <v>726.2</v>
      </c>
      <c r="Q62" s="13">
        <f t="shared" si="0"/>
        <v>0.38249236279363746</v>
      </c>
      <c r="R62" s="14">
        <f t="shared" si="1"/>
        <v>2624.8</v>
      </c>
      <c r="S62" s="15">
        <f t="shared" si="2"/>
        <v>3097.2640000000001</v>
      </c>
    </row>
    <row r="63" spans="1:19" x14ac:dyDescent="0.3">
      <c r="A63">
        <v>200010076</v>
      </c>
      <c r="B63">
        <v>273715040</v>
      </c>
      <c r="C63" s="11">
        <v>46230</v>
      </c>
      <c r="D63" s="1">
        <v>874110689535</v>
      </c>
      <c r="E63">
        <v>41255</v>
      </c>
      <c r="F63" t="s">
        <v>23</v>
      </c>
      <c r="G63" s="12">
        <v>4.5</v>
      </c>
      <c r="H63">
        <v>47</v>
      </c>
      <c r="I63">
        <v>22</v>
      </c>
      <c r="J63">
        <v>22</v>
      </c>
      <c r="K63" s="12">
        <v>4.5</v>
      </c>
      <c r="L63" t="s">
        <v>20</v>
      </c>
      <c r="M63" s="2">
        <v>2098.9</v>
      </c>
      <c r="N63" s="2">
        <v>297</v>
      </c>
      <c r="P63" s="2">
        <v>916.4</v>
      </c>
      <c r="Q63" s="13">
        <f t="shared" si="0"/>
        <v>0.3824867481948328</v>
      </c>
      <c r="R63" s="14">
        <f t="shared" si="1"/>
        <v>3312.3</v>
      </c>
      <c r="S63" s="15">
        <f t="shared" si="2"/>
        <v>3908.5140000000001</v>
      </c>
    </row>
    <row r="64" spans="1:19" x14ac:dyDescent="0.3">
      <c r="A64">
        <v>200010076</v>
      </c>
      <c r="B64">
        <v>273715040</v>
      </c>
      <c r="C64" s="11">
        <v>46230</v>
      </c>
      <c r="D64" s="1">
        <v>874110726224</v>
      </c>
      <c r="E64">
        <v>40057</v>
      </c>
      <c r="F64" t="s">
        <v>23</v>
      </c>
      <c r="G64" s="12">
        <v>2</v>
      </c>
      <c r="H64">
        <v>51</v>
      </c>
      <c r="I64">
        <v>18</v>
      </c>
      <c r="J64">
        <v>15</v>
      </c>
      <c r="K64" s="12">
        <v>2.2999999999999998</v>
      </c>
      <c r="L64" t="s">
        <v>20</v>
      </c>
      <c r="M64" s="2">
        <v>1671.3</v>
      </c>
      <c r="N64" s="2">
        <v>165</v>
      </c>
      <c r="P64" s="2">
        <v>702.4</v>
      </c>
      <c r="Q64" s="13">
        <f t="shared" si="0"/>
        <v>0.38250830474323366</v>
      </c>
      <c r="R64" s="14">
        <f t="shared" si="1"/>
        <v>2538.6999999999998</v>
      </c>
      <c r="S64" s="15">
        <f t="shared" si="2"/>
        <v>2995.6659999999997</v>
      </c>
    </row>
    <row r="65" spans="1:19" x14ac:dyDescent="0.3">
      <c r="A65">
        <v>200010076</v>
      </c>
      <c r="B65">
        <v>273715040</v>
      </c>
      <c r="C65" s="11">
        <v>46230</v>
      </c>
      <c r="D65" s="1">
        <v>874110613092</v>
      </c>
      <c r="E65">
        <v>4108466444</v>
      </c>
      <c r="F65" t="s">
        <v>23</v>
      </c>
      <c r="G65" s="12">
        <v>0.5</v>
      </c>
      <c r="K65" s="12">
        <v>0</v>
      </c>
      <c r="L65" t="s">
        <v>20</v>
      </c>
      <c r="M65" s="2">
        <v>1031.7</v>
      </c>
      <c r="N65" s="2">
        <v>42.5</v>
      </c>
      <c r="P65" s="2">
        <v>410.9</v>
      </c>
      <c r="Q65" s="13">
        <f t="shared" si="0"/>
        <v>0.38251722211878603</v>
      </c>
      <c r="R65" s="14">
        <f t="shared" si="1"/>
        <v>1485.1</v>
      </c>
      <c r="S65" s="15">
        <f t="shared" si="2"/>
        <v>1752.4179999999999</v>
      </c>
    </row>
    <row r="66" spans="1:19" x14ac:dyDescent="0.3">
      <c r="A66">
        <v>200010076</v>
      </c>
      <c r="B66">
        <v>273715040</v>
      </c>
      <c r="C66" s="11">
        <v>46230</v>
      </c>
      <c r="D66" s="1">
        <v>874175300665</v>
      </c>
      <c r="E66">
        <v>40024</v>
      </c>
      <c r="F66" t="s">
        <v>24</v>
      </c>
      <c r="G66" s="12">
        <v>6.67</v>
      </c>
      <c r="H66">
        <v>61</v>
      </c>
      <c r="I66">
        <v>26</v>
      </c>
      <c r="J66">
        <v>26</v>
      </c>
      <c r="K66" s="12">
        <v>6.9</v>
      </c>
      <c r="L66" t="s">
        <v>20</v>
      </c>
      <c r="M66" s="2">
        <v>2839.2</v>
      </c>
      <c r="N66" s="2">
        <v>462</v>
      </c>
      <c r="P66" s="2">
        <v>1262.7</v>
      </c>
      <c r="Q66" s="13">
        <f t="shared" si="0"/>
        <v>0.38249727371864778</v>
      </c>
      <c r="R66" s="14">
        <f t="shared" si="1"/>
        <v>4563.8999999999996</v>
      </c>
      <c r="S66" s="15">
        <f t="shared" si="2"/>
        <v>5385.4019999999991</v>
      </c>
    </row>
    <row r="67" spans="1:19" x14ac:dyDescent="0.3">
      <c r="A67">
        <v>200010076</v>
      </c>
      <c r="B67">
        <v>273715040</v>
      </c>
      <c r="C67" s="11">
        <v>46230</v>
      </c>
      <c r="D67" s="1">
        <v>874175301856</v>
      </c>
      <c r="E67">
        <v>42020</v>
      </c>
      <c r="F67" t="s">
        <v>24</v>
      </c>
      <c r="G67" s="12">
        <v>13.5</v>
      </c>
      <c r="H67">
        <v>83</v>
      </c>
      <c r="I67">
        <v>31</v>
      </c>
      <c r="J67">
        <v>30</v>
      </c>
      <c r="K67" s="12">
        <v>13.5</v>
      </c>
      <c r="L67" t="s">
        <v>20</v>
      </c>
      <c r="M67" s="2">
        <v>5599.2</v>
      </c>
      <c r="N67" s="2">
        <v>891</v>
      </c>
      <c r="P67" s="2">
        <v>2482.5</v>
      </c>
      <c r="Q67" s="13">
        <f t="shared" si="0"/>
        <v>0.38249976888231491</v>
      </c>
      <c r="R67" s="14">
        <f t="shared" si="1"/>
        <v>8972.7000000000007</v>
      </c>
      <c r="S67" s="15">
        <f t="shared" si="2"/>
        <v>10587.786</v>
      </c>
    </row>
    <row r="68" spans="1:19" x14ac:dyDescent="0.3">
      <c r="A68">
        <v>200010076</v>
      </c>
      <c r="B68">
        <v>273715040</v>
      </c>
      <c r="C68" s="11">
        <v>46230</v>
      </c>
      <c r="D68" s="1">
        <v>874175303458</v>
      </c>
      <c r="E68">
        <v>42056</v>
      </c>
      <c r="F68" t="s">
        <v>24</v>
      </c>
      <c r="G68" s="12">
        <v>5</v>
      </c>
      <c r="H68">
        <v>53</v>
      </c>
      <c r="I68">
        <v>23</v>
      </c>
      <c r="J68">
        <v>23</v>
      </c>
      <c r="K68" s="12">
        <v>5</v>
      </c>
      <c r="L68" t="s">
        <v>20</v>
      </c>
      <c r="M68" s="2">
        <v>2231.6999999999998</v>
      </c>
      <c r="N68" s="2">
        <v>330</v>
      </c>
      <c r="P68" s="2">
        <v>979.9</v>
      </c>
      <c r="Q68" s="13">
        <f t="shared" si="0"/>
        <v>0.3825194206971933</v>
      </c>
      <c r="R68" s="14">
        <f t="shared" si="1"/>
        <v>3541.6</v>
      </c>
      <c r="S68" s="15">
        <f t="shared" si="2"/>
        <v>4179.0879999999997</v>
      </c>
    </row>
    <row r="69" spans="1:19" x14ac:dyDescent="0.3">
      <c r="A69">
        <v>200010076</v>
      </c>
      <c r="B69">
        <v>273715040</v>
      </c>
      <c r="C69" s="11">
        <v>46230</v>
      </c>
      <c r="D69" s="1">
        <v>874175310920</v>
      </c>
      <c r="E69">
        <v>39336</v>
      </c>
      <c r="F69" t="s">
        <v>24</v>
      </c>
      <c r="G69" s="12">
        <v>15</v>
      </c>
      <c r="H69">
        <v>76</v>
      </c>
      <c r="I69">
        <v>35</v>
      </c>
      <c r="J69">
        <v>33</v>
      </c>
      <c r="K69" s="12">
        <v>15</v>
      </c>
      <c r="L69" t="s">
        <v>20</v>
      </c>
      <c r="M69" s="2">
        <v>6111.3</v>
      </c>
      <c r="N69" s="2">
        <v>990</v>
      </c>
      <c r="P69" s="2">
        <v>2716.3</v>
      </c>
      <c r="Q69" s="13">
        <f t="shared" si="0"/>
        <v>0.38250742821736866</v>
      </c>
      <c r="R69" s="14">
        <f t="shared" si="1"/>
        <v>9817.6</v>
      </c>
      <c r="S69" s="15">
        <f t="shared" si="2"/>
        <v>11584.768</v>
      </c>
    </row>
    <row r="70" spans="1:19" x14ac:dyDescent="0.3">
      <c r="A70">
        <v>200010076</v>
      </c>
      <c r="B70">
        <v>273715040</v>
      </c>
      <c r="C70" s="11">
        <v>46230</v>
      </c>
      <c r="D70" s="1">
        <v>874175311147</v>
      </c>
      <c r="E70">
        <v>41397</v>
      </c>
      <c r="F70" t="s">
        <v>24</v>
      </c>
      <c r="G70" s="12">
        <v>3</v>
      </c>
      <c r="H70">
        <v>45</v>
      </c>
      <c r="I70">
        <v>19</v>
      </c>
      <c r="J70">
        <v>19</v>
      </c>
      <c r="K70" s="12">
        <v>3</v>
      </c>
      <c r="L70" t="s">
        <v>20</v>
      </c>
      <c r="M70" s="2">
        <v>1700.6</v>
      </c>
      <c r="N70" s="2">
        <v>198</v>
      </c>
      <c r="P70" s="2">
        <v>726.2</v>
      </c>
      <c r="Q70" s="13">
        <f t="shared" si="0"/>
        <v>0.38249236279363746</v>
      </c>
      <c r="R70" s="14">
        <f t="shared" si="1"/>
        <v>2624.8</v>
      </c>
      <c r="S70" s="15">
        <f t="shared" si="2"/>
        <v>3097.2640000000001</v>
      </c>
    </row>
    <row r="71" spans="1:19" x14ac:dyDescent="0.3">
      <c r="A71">
        <v>200010076</v>
      </c>
      <c r="B71">
        <v>273715040</v>
      </c>
      <c r="C71" s="11">
        <v>46230</v>
      </c>
      <c r="D71" s="1">
        <v>874175321582</v>
      </c>
      <c r="E71">
        <v>41508</v>
      </c>
      <c r="F71" t="s">
        <v>24</v>
      </c>
      <c r="G71" s="12">
        <v>8.5</v>
      </c>
      <c r="H71">
        <v>59</v>
      </c>
      <c r="I71">
        <v>29</v>
      </c>
      <c r="J71">
        <v>26</v>
      </c>
      <c r="K71" s="12">
        <v>8.5</v>
      </c>
      <c r="L71" t="s">
        <v>20</v>
      </c>
      <c r="M71" s="2">
        <v>3184.4</v>
      </c>
      <c r="N71" s="2">
        <v>561</v>
      </c>
      <c r="P71" s="2">
        <v>1432.6</v>
      </c>
      <c r="Q71" s="13">
        <f t="shared" si="0"/>
        <v>0.38249586159021731</v>
      </c>
      <c r="R71" s="14">
        <f t="shared" si="1"/>
        <v>5178</v>
      </c>
      <c r="S71" s="15">
        <f t="shared" si="2"/>
        <v>6110.04</v>
      </c>
    </row>
    <row r="72" spans="1:19" x14ac:dyDescent="0.3">
      <c r="A72">
        <v>200010076</v>
      </c>
      <c r="B72">
        <v>273715040</v>
      </c>
      <c r="C72" s="11">
        <v>46230</v>
      </c>
      <c r="D72" s="1">
        <v>874175330863</v>
      </c>
      <c r="E72">
        <v>40639</v>
      </c>
      <c r="F72" t="s">
        <v>24</v>
      </c>
      <c r="G72" s="12">
        <v>5</v>
      </c>
      <c r="H72">
        <v>48</v>
      </c>
      <c r="I72">
        <v>24</v>
      </c>
      <c r="J72">
        <v>24</v>
      </c>
      <c r="K72" s="12">
        <v>5</v>
      </c>
      <c r="L72" t="s">
        <v>20</v>
      </c>
      <c r="M72" s="2">
        <v>2231.6999999999998</v>
      </c>
      <c r="N72" s="2">
        <v>330</v>
      </c>
      <c r="P72" s="2">
        <v>979.9</v>
      </c>
      <c r="Q72" s="13">
        <f t="shared" si="0"/>
        <v>0.3825194206971933</v>
      </c>
      <c r="R72" s="14">
        <f t="shared" si="1"/>
        <v>3541.6</v>
      </c>
      <c r="S72" s="15">
        <f t="shared" si="2"/>
        <v>4179.0879999999997</v>
      </c>
    </row>
    <row r="73" spans="1:19" x14ac:dyDescent="0.3">
      <c r="A73">
        <v>200010076</v>
      </c>
      <c r="B73">
        <v>273715040</v>
      </c>
      <c r="C73" s="11">
        <v>46230</v>
      </c>
      <c r="D73" s="1">
        <v>874175331995</v>
      </c>
      <c r="E73">
        <v>41808</v>
      </c>
      <c r="F73" t="s">
        <v>24</v>
      </c>
      <c r="G73" s="12">
        <v>8.5</v>
      </c>
      <c r="H73">
        <v>69</v>
      </c>
      <c r="I73">
        <v>28</v>
      </c>
      <c r="J73">
        <v>26</v>
      </c>
      <c r="K73" s="12">
        <v>8.5</v>
      </c>
      <c r="L73" t="s">
        <v>20</v>
      </c>
      <c r="M73" s="2">
        <v>3184.4</v>
      </c>
      <c r="N73" s="2">
        <v>561</v>
      </c>
      <c r="P73" s="2">
        <v>1432.6</v>
      </c>
      <c r="Q73" s="13">
        <f t="shared" ref="Q73:Q136" si="3">+P73/SUM(M73:O73)</f>
        <v>0.38249586159021731</v>
      </c>
      <c r="R73" s="14">
        <f t="shared" ref="R73:R136" si="4">SUM(M73:P73)</f>
        <v>5178</v>
      </c>
      <c r="S73" s="15">
        <f t="shared" ref="S73:S136" si="5">+R73*1.18</f>
        <v>6110.04</v>
      </c>
    </row>
    <row r="74" spans="1:19" x14ac:dyDescent="0.3">
      <c r="A74">
        <v>200010076</v>
      </c>
      <c r="B74">
        <v>273715040</v>
      </c>
      <c r="C74" s="11">
        <v>46230</v>
      </c>
      <c r="D74" s="1">
        <v>874175339838</v>
      </c>
      <c r="E74">
        <v>40304</v>
      </c>
      <c r="F74" t="s">
        <v>24</v>
      </c>
      <c r="G74" s="12">
        <v>3</v>
      </c>
      <c r="H74">
        <v>41</v>
      </c>
      <c r="I74">
        <v>21</v>
      </c>
      <c r="J74">
        <v>20</v>
      </c>
      <c r="K74" s="12">
        <v>3</v>
      </c>
      <c r="L74" t="s">
        <v>20</v>
      </c>
      <c r="M74" s="2">
        <v>1700.6</v>
      </c>
      <c r="N74" s="2">
        <v>198</v>
      </c>
      <c r="P74" s="2">
        <v>726.2</v>
      </c>
      <c r="Q74" s="13">
        <f t="shared" si="3"/>
        <v>0.38249236279363746</v>
      </c>
      <c r="R74" s="14">
        <f t="shared" si="4"/>
        <v>2624.8</v>
      </c>
      <c r="S74" s="15">
        <f t="shared" si="5"/>
        <v>3097.2640000000001</v>
      </c>
    </row>
    <row r="75" spans="1:19" x14ac:dyDescent="0.3">
      <c r="A75">
        <v>200010076</v>
      </c>
      <c r="B75">
        <v>273715040</v>
      </c>
      <c r="C75" s="11">
        <v>46230</v>
      </c>
      <c r="D75" s="1">
        <v>874175342786</v>
      </c>
      <c r="E75">
        <v>39058</v>
      </c>
      <c r="F75" t="s">
        <v>24</v>
      </c>
      <c r="G75" s="12">
        <v>12</v>
      </c>
      <c r="H75">
        <v>61</v>
      </c>
      <c r="I75">
        <v>34</v>
      </c>
      <c r="J75">
        <v>33</v>
      </c>
      <c r="K75" s="12">
        <v>12</v>
      </c>
      <c r="L75" t="s">
        <v>20</v>
      </c>
      <c r="M75" s="2">
        <v>5087.1000000000004</v>
      </c>
      <c r="N75" s="2">
        <v>792</v>
      </c>
      <c r="P75" s="2">
        <v>2248.8000000000002</v>
      </c>
      <c r="Q75" s="13">
        <f t="shared" si="3"/>
        <v>0.38250752666224425</v>
      </c>
      <c r="R75" s="14">
        <f t="shared" si="4"/>
        <v>8127.9000000000005</v>
      </c>
      <c r="S75" s="15">
        <f t="shared" si="5"/>
        <v>9590.9220000000005</v>
      </c>
    </row>
    <row r="76" spans="1:19" x14ac:dyDescent="0.3">
      <c r="A76">
        <v>200010076</v>
      </c>
      <c r="B76">
        <v>273715040</v>
      </c>
      <c r="C76" s="11">
        <v>46230</v>
      </c>
      <c r="D76" s="1">
        <v>874175343278</v>
      </c>
      <c r="E76">
        <v>39536</v>
      </c>
      <c r="F76" t="s">
        <v>24</v>
      </c>
      <c r="G76" s="12">
        <v>31.5</v>
      </c>
      <c r="H76">
        <v>74</v>
      </c>
      <c r="I76">
        <v>52</v>
      </c>
      <c r="J76">
        <v>48</v>
      </c>
      <c r="K76" s="12">
        <v>31.5</v>
      </c>
      <c r="L76" t="s">
        <v>20</v>
      </c>
      <c r="M76" s="2">
        <v>12382.9</v>
      </c>
      <c r="N76" s="2">
        <v>2079</v>
      </c>
      <c r="O76" s="2">
        <v>2235</v>
      </c>
      <c r="P76" s="2">
        <v>6386.6</v>
      </c>
      <c r="Q76" s="13">
        <f t="shared" si="3"/>
        <v>0.38250214111601555</v>
      </c>
      <c r="R76" s="14">
        <f t="shared" si="4"/>
        <v>23083.5</v>
      </c>
      <c r="S76" s="15">
        <f t="shared" si="5"/>
        <v>27238.53</v>
      </c>
    </row>
    <row r="77" spans="1:19" x14ac:dyDescent="0.3">
      <c r="A77">
        <v>200010076</v>
      </c>
      <c r="B77">
        <v>273715040</v>
      </c>
      <c r="C77" s="11">
        <v>46230</v>
      </c>
      <c r="D77" s="1">
        <v>874175343922</v>
      </c>
      <c r="E77">
        <v>7871392</v>
      </c>
      <c r="F77" t="s">
        <v>24</v>
      </c>
      <c r="G77" s="12">
        <v>2</v>
      </c>
      <c r="H77">
        <v>34</v>
      </c>
      <c r="I77">
        <v>15</v>
      </c>
      <c r="J77">
        <v>15</v>
      </c>
      <c r="K77" s="12">
        <v>2</v>
      </c>
      <c r="L77" t="s">
        <v>20</v>
      </c>
      <c r="M77" s="2">
        <v>1512.5</v>
      </c>
      <c r="N77" s="2">
        <v>132</v>
      </c>
      <c r="P77" s="2">
        <v>629</v>
      </c>
      <c r="Q77" s="13">
        <f t="shared" si="3"/>
        <v>0.38248707813925203</v>
      </c>
      <c r="R77" s="14">
        <f t="shared" si="4"/>
        <v>2273.5</v>
      </c>
      <c r="S77" s="15">
        <f t="shared" si="5"/>
        <v>2682.73</v>
      </c>
    </row>
    <row r="78" spans="1:19" x14ac:dyDescent="0.3">
      <c r="A78">
        <v>200010076</v>
      </c>
      <c r="B78">
        <v>273715040</v>
      </c>
      <c r="C78" s="11">
        <v>46230</v>
      </c>
      <c r="D78" s="1">
        <v>874175353680</v>
      </c>
      <c r="E78">
        <v>41602</v>
      </c>
      <c r="F78" t="s">
        <v>24</v>
      </c>
      <c r="G78" s="12">
        <v>7.5</v>
      </c>
      <c r="H78">
        <v>70</v>
      </c>
      <c r="I78">
        <v>25</v>
      </c>
      <c r="J78">
        <v>25</v>
      </c>
      <c r="K78" s="12">
        <v>7.5</v>
      </c>
      <c r="L78" t="s">
        <v>20</v>
      </c>
      <c r="M78" s="2">
        <v>2954.2</v>
      </c>
      <c r="N78" s="2">
        <v>495</v>
      </c>
      <c r="P78" s="2">
        <v>1319.3</v>
      </c>
      <c r="Q78" s="13">
        <f t="shared" si="3"/>
        <v>0.38249449147628434</v>
      </c>
      <c r="R78" s="14">
        <f t="shared" si="4"/>
        <v>4768.5</v>
      </c>
      <c r="S78" s="15">
        <f t="shared" si="5"/>
        <v>5626.83</v>
      </c>
    </row>
    <row r="79" spans="1:19" x14ac:dyDescent="0.3">
      <c r="A79">
        <v>200010076</v>
      </c>
      <c r="B79">
        <v>273715040</v>
      </c>
      <c r="C79" s="11">
        <v>46230</v>
      </c>
      <c r="D79" s="1">
        <v>874175366474</v>
      </c>
      <c r="E79">
        <v>41431</v>
      </c>
      <c r="F79" t="s">
        <v>24</v>
      </c>
      <c r="G79" s="12">
        <v>6.5</v>
      </c>
      <c r="H79">
        <v>55</v>
      </c>
      <c r="I79">
        <v>26</v>
      </c>
      <c r="J79">
        <v>25</v>
      </c>
      <c r="K79" s="12">
        <v>6.5</v>
      </c>
      <c r="L79" t="s">
        <v>20</v>
      </c>
      <c r="M79" s="2">
        <v>2724.1</v>
      </c>
      <c r="N79" s="2">
        <v>429</v>
      </c>
      <c r="P79" s="2">
        <v>1206.0999999999999</v>
      </c>
      <c r="Q79" s="13">
        <f t="shared" si="3"/>
        <v>0.3825124480669817</v>
      </c>
      <c r="R79" s="14">
        <f t="shared" si="4"/>
        <v>4359.2</v>
      </c>
      <c r="S79" s="15">
        <f t="shared" si="5"/>
        <v>5143.8559999999998</v>
      </c>
    </row>
    <row r="80" spans="1:19" x14ac:dyDescent="0.3">
      <c r="A80">
        <v>200010076</v>
      </c>
      <c r="B80">
        <v>273715040</v>
      </c>
      <c r="C80" s="11">
        <v>46230</v>
      </c>
      <c r="D80" s="1">
        <v>874175366533</v>
      </c>
      <c r="E80">
        <v>41519</v>
      </c>
      <c r="F80" t="s">
        <v>24</v>
      </c>
      <c r="G80" s="12">
        <v>4.5</v>
      </c>
      <c r="H80">
        <v>40</v>
      </c>
      <c r="I80">
        <v>26</v>
      </c>
      <c r="J80">
        <v>23</v>
      </c>
      <c r="K80" s="12">
        <v>4.5</v>
      </c>
      <c r="L80" t="s">
        <v>20</v>
      </c>
      <c r="M80" s="2">
        <v>2098.9</v>
      </c>
      <c r="N80" s="2">
        <v>297</v>
      </c>
      <c r="P80" s="2">
        <v>916.4</v>
      </c>
      <c r="Q80" s="13">
        <f t="shared" si="3"/>
        <v>0.3824867481948328</v>
      </c>
      <c r="R80" s="14">
        <f t="shared" si="4"/>
        <v>3312.3</v>
      </c>
      <c r="S80" s="15">
        <f t="shared" si="5"/>
        <v>3908.5140000000001</v>
      </c>
    </row>
    <row r="81" spans="1:19" x14ac:dyDescent="0.3">
      <c r="A81">
        <v>200010076</v>
      </c>
      <c r="B81">
        <v>273715040</v>
      </c>
      <c r="C81" s="11">
        <v>46230</v>
      </c>
      <c r="D81" s="1">
        <v>874175367091</v>
      </c>
      <c r="E81">
        <v>40712</v>
      </c>
      <c r="F81" t="s">
        <v>24</v>
      </c>
      <c r="G81" s="12">
        <v>3</v>
      </c>
      <c r="H81">
        <v>43</v>
      </c>
      <c r="I81">
        <v>20</v>
      </c>
      <c r="J81">
        <v>19</v>
      </c>
      <c r="K81" s="12">
        <v>3</v>
      </c>
      <c r="L81" t="s">
        <v>20</v>
      </c>
      <c r="M81" s="2">
        <v>1700.6</v>
      </c>
      <c r="N81" s="2">
        <v>198</v>
      </c>
      <c r="P81" s="2">
        <v>726.2</v>
      </c>
      <c r="Q81" s="13">
        <f t="shared" si="3"/>
        <v>0.38249236279363746</v>
      </c>
      <c r="R81" s="14">
        <f t="shared" si="4"/>
        <v>2624.8</v>
      </c>
      <c r="S81" s="15">
        <f t="shared" si="5"/>
        <v>3097.2640000000001</v>
      </c>
    </row>
    <row r="82" spans="1:19" x14ac:dyDescent="0.3">
      <c r="A82">
        <v>200010076</v>
      </c>
      <c r="B82">
        <v>273715040</v>
      </c>
      <c r="C82" s="11">
        <v>46230</v>
      </c>
      <c r="D82" s="1">
        <v>874175376258</v>
      </c>
      <c r="E82">
        <v>39881</v>
      </c>
      <c r="F82" t="s">
        <v>24</v>
      </c>
      <c r="G82" s="12">
        <v>7</v>
      </c>
      <c r="H82">
        <v>64</v>
      </c>
      <c r="I82">
        <v>25</v>
      </c>
      <c r="J82">
        <v>24</v>
      </c>
      <c r="K82" s="12">
        <v>7</v>
      </c>
      <c r="L82" t="s">
        <v>20</v>
      </c>
      <c r="M82" s="2">
        <v>2839.2</v>
      </c>
      <c r="N82" s="2">
        <v>462</v>
      </c>
      <c r="P82" s="2">
        <v>1262.7</v>
      </c>
      <c r="Q82" s="13">
        <f t="shared" si="3"/>
        <v>0.38249727371864778</v>
      </c>
      <c r="R82" s="14">
        <f t="shared" si="4"/>
        <v>4563.8999999999996</v>
      </c>
      <c r="S82" s="15">
        <f t="shared" si="5"/>
        <v>5385.4019999999991</v>
      </c>
    </row>
    <row r="83" spans="1:19" x14ac:dyDescent="0.3">
      <c r="A83">
        <v>200010076</v>
      </c>
      <c r="B83">
        <v>273715040</v>
      </c>
      <c r="C83" s="11">
        <v>46230</v>
      </c>
      <c r="D83" s="1">
        <v>874175377151</v>
      </c>
      <c r="E83">
        <v>41376</v>
      </c>
      <c r="F83" t="s">
        <v>24</v>
      </c>
      <c r="G83" s="12">
        <v>2.5</v>
      </c>
      <c r="H83">
        <v>24</v>
      </c>
      <c r="I83">
        <v>23</v>
      </c>
      <c r="J83">
        <v>22</v>
      </c>
      <c r="K83" s="12">
        <v>2.5</v>
      </c>
      <c r="L83" t="s">
        <v>20</v>
      </c>
      <c r="M83" s="2">
        <v>1671.3</v>
      </c>
      <c r="N83" s="2">
        <v>165</v>
      </c>
      <c r="P83" s="2">
        <v>702.4</v>
      </c>
      <c r="Q83" s="13">
        <f t="shared" si="3"/>
        <v>0.38250830474323366</v>
      </c>
      <c r="R83" s="14">
        <f t="shared" si="4"/>
        <v>2538.6999999999998</v>
      </c>
      <c r="S83" s="15">
        <f t="shared" si="5"/>
        <v>2995.6659999999997</v>
      </c>
    </row>
    <row r="84" spans="1:19" x14ac:dyDescent="0.3">
      <c r="A84">
        <v>200010076</v>
      </c>
      <c r="B84">
        <v>273715040</v>
      </c>
      <c r="C84" s="11">
        <v>46230</v>
      </c>
      <c r="D84" s="1">
        <v>874175381901</v>
      </c>
      <c r="E84">
        <v>41892</v>
      </c>
      <c r="F84" t="s">
        <v>24</v>
      </c>
      <c r="G84" s="12">
        <v>5.5</v>
      </c>
      <c r="H84">
        <v>69</v>
      </c>
      <c r="I84">
        <v>21</v>
      </c>
      <c r="J84">
        <v>21</v>
      </c>
      <c r="K84" s="12">
        <v>5.5</v>
      </c>
      <c r="L84" t="s">
        <v>20</v>
      </c>
      <c r="M84" s="2">
        <v>2494</v>
      </c>
      <c r="N84" s="2">
        <v>363</v>
      </c>
      <c r="P84" s="2">
        <v>1092.8</v>
      </c>
      <c r="Q84" s="13">
        <f t="shared" si="3"/>
        <v>0.38249912495624777</v>
      </c>
      <c r="R84" s="14">
        <f t="shared" si="4"/>
        <v>3949.8</v>
      </c>
      <c r="S84" s="15">
        <f t="shared" si="5"/>
        <v>4660.7640000000001</v>
      </c>
    </row>
    <row r="85" spans="1:19" x14ac:dyDescent="0.3">
      <c r="A85">
        <v>200010076</v>
      </c>
      <c r="B85">
        <v>273715040</v>
      </c>
      <c r="C85" s="11">
        <v>46230</v>
      </c>
      <c r="D85" s="1">
        <v>874175386616</v>
      </c>
      <c r="E85">
        <v>41794</v>
      </c>
      <c r="F85" t="s">
        <v>24</v>
      </c>
      <c r="G85" s="12">
        <v>6</v>
      </c>
      <c r="H85">
        <v>64</v>
      </c>
      <c r="I85">
        <v>23</v>
      </c>
      <c r="J85">
        <v>23</v>
      </c>
      <c r="K85" s="12">
        <v>6</v>
      </c>
      <c r="L85" t="s">
        <v>20</v>
      </c>
      <c r="M85" s="2">
        <v>2609.1</v>
      </c>
      <c r="N85" s="2">
        <v>396</v>
      </c>
      <c r="P85" s="2">
        <v>1149.5</v>
      </c>
      <c r="Q85" s="13">
        <f t="shared" si="3"/>
        <v>0.38251638880569699</v>
      </c>
      <c r="R85" s="14">
        <f t="shared" si="4"/>
        <v>4154.6000000000004</v>
      </c>
      <c r="S85" s="15">
        <f t="shared" si="5"/>
        <v>4902.4279999999999</v>
      </c>
    </row>
    <row r="86" spans="1:19" x14ac:dyDescent="0.3">
      <c r="A86">
        <v>200010076</v>
      </c>
      <c r="B86">
        <v>273715040</v>
      </c>
      <c r="C86" s="11">
        <v>46230</v>
      </c>
      <c r="D86" s="1">
        <v>874175389670</v>
      </c>
      <c r="E86">
        <v>40009</v>
      </c>
      <c r="F86" t="s">
        <v>24</v>
      </c>
      <c r="G86" s="12">
        <v>4</v>
      </c>
      <c r="H86">
        <v>51</v>
      </c>
      <c r="I86">
        <v>22</v>
      </c>
      <c r="J86">
        <v>21</v>
      </c>
      <c r="K86" s="12">
        <v>4</v>
      </c>
      <c r="L86" t="s">
        <v>20</v>
      </c>
      <c r="M86" s="2">
        <v>1966.1</v>
      </c>
      <c r="N86" s="2">
        <v>264</v>
      </c>
      <c r="P86" s="2">
        <v>853</v>
      </c>
      <c r="Q86" s="13">
        <f t="shared" si="3"/>
        <v>0.38249405856239632</v>
      </c>
      <c r="R86" s="14">
        <f t="shared" si="4"/>
        <v>3083.1</v>
      </c>
      <c r="S86" s="15">
        <f t="shared" si="5"/>
        <v>3638.0579999999995</v>
      </c>
    </row>
    <row r="87" spans="1:19" x14ac:dyDescent="0.3">
      <c r="A87">
        <v>200010076</v>
      </c>
      <c r="B87">
        <v>273715040</v>
      </c>
      <c r="C87" s="11">
        <v>46230</v>
      </c>
      <c r="D87" s="1">
        <v>874175394268</v>
      </c>
      <c r="E87">
        <v>41682</v>
      </c>
      <c r="F87" t="s">
        <v>24</v>
      </c>
      <c r="G87" s="12">
        <v>4</v>
      </c>
      <c r="H87">
        <v>45</v>
      </c>
      <c r="I87">
        <v>23</v>
      </c>
      <c r="J87">
        <v>21</v>
      </c>
      <c r="K87" s="12">
        <v>4</v>
      </c>
      <c r="L87" t="s">
        <v>20</v>
      </c>
      <c r="M87" s="2">
        <v>1966.1</v>
      </c>
      <c r="N87" s="2">
        <v>264</v>
      </c>
      <c r="P87" s="2">
        <v>853</v>
      </c>
      <c r="Q87" s="13">
        <f t="shared" si="3"/>
        <v>0.38249405856239632</v>
      </c>
      <c r="R87" s="14">
        <f t="shared" si="4"/>
        <v>3083.1</v>
      </c>
      <c r="S87" s="15">
        <f t="shared" si="5"/>
        <v>3638.0579999999995</v>
      </c>
    </row>
    <row r="88" spans="1:19" x14ac:dyDescent="0.3">
      <c r="A88">
        <v>200010076</v>
      </c>
      <c r="B88">
        <v>273715040</v>
      </c>
      <c r="C88" s="11">
        <v>46230</v>
      </c>
      <c r="D88" s="1">
        <v>874175396282</v>
      </c>
      <c r="E88">
        <v>40881</v>
      </c>
      <c r="F88" t="s">
        <v>24</v>
      </c>
      <c r="G88" s="12">
        <v>5</v>
      </c>
      <c r="H88">
        <v>45</v>
      </c>
      <c r="I88">
        <v>26</v>
      </c>
      <c r="J88">
        <v>24</v>
      </c>
      <c r="K88" s="12">
        <v>5</v>
      </c>
      <c r="L88" t="s">
        <v>20</v>
      </c>
      <c r="M88" s="2">
        <v>2231.6999999999998</v>
      </c>
      <c r="N88" s="2">
        <v>330</v>
      </c>
      <c r="P88" s="2">
        <v>979.9</v>
      </c>
      <c r="Q88" s="13">
        <f t="shared" si="3"/>
        <v>0.3825194206971933</v>
      </c>
      <c r="R88" s="14">
        <f t="shared" si="4"/>
        <v>3541.6</v>
      </c>
      <c r="S88" s="15">
        <f t="shared" si="5"/>
        <v>4179.0879999999997</v>
      </c>
    </row>
    <row r="89" spans="1:19" x14ac:dyDescent="0.3">
      <c r="A89">
        <v>200010076</v>
      </c>
      <c r="B89">
        <v>273715040</v>
      </c>
      <c r="C89" s="11">
        <v>46230</v>
      </c>
      <c r="D89" s="1">
        <v>874175404090</v>
      </c>
      <c r="E89">
        <v>39473</v>
      </c>
      <c r="F89" t="s">
        <v>24</v>
      </c>
      <c r="G89" s="12">
        <v>2</v>
      </c>
      <c r="H89">
        <v>56</v>
      </c>
      <c r="I89">
        <v>18</v>
      </c>
      <c r="J89">
        <v>18</v>
      </c>
      <c r="K89" s="12">
        <v>2.9</v>
      </c>
      <c r="L89" t="s">
        <v>20</v>
      </c>
      <c r="M89" s="2">
        <v>1700.6</v>
      </c>
      <c r="N89" s="2">
        <v>198</v>
      </c>
      <c r="P89" s="2">
        <v>726.2</v>
      </c>
      <c r="Q89" s="13">
        <f t="shared" si="3"/>
        <v>0.38249236279363746</v>
      </c>
      <c r="R89" s="14">
        <f t="shared" si="4"/>
        <v>2624.8</v>
      </c>
      <c r="S89" s="15">
        <f t="shared" si="5"/>
        <v>3097.2640000000001</v>
      </c>
    </row>
    <row r="90" spans="1:19" x14ac:dyDescent="0.3">
      <c r="A90">
        <v>200010076</v>
      </c>
      <c r="B90">
        <v>273715040</v>
      </c>
      <c r="C90" s="11">
        <v>46230</v>
      </c>
      <c r="D90" s="1">
        <v>874175407386</v>
      </c>
      <c r="E90">
        <v>41853</v>
      </c>
      <c r="F90" t="s">
        <v>24</v>
      </c>
      <c r="G90" s="12">
        <v>6</v>
      </c>
      <c r="H90">
        <v>55</v>
      </c>
      <c r="I90">
        <v>25</v>
      </c>
      <c r="J90">
        <v>25</v>
      </c>
      <c r="K90" s="12">
        <v>6</v>
      </c>
      <c r="L90" t="s">
        <v>20</v>
      </c>
      <c r="M90" s="2">
        <v>2609.1</v>
      </c>
      <c r="N90" s="2">
        <v>396</v>
      </c>
      <c r="P90" s="2">
        <v>1149.5</v>
      </c>
      <c r="Q90" s="13">
        <f t="shared" si="3"/>
        <v>0.38251638880569699</v>
      </c>
      <c r="R90" s="14">
        <f t="shared" si="4"/>
        <v>4154.6000000000004</v>
      </c>
      <c r="S90" s="15">
        <f t="shared" si="5"/>
        <v>4902.4279999999999</v>
      </c>
    </row>
    <row r="91" spans="1:19" x14ac:dyDescent="0.3">
      <c r="A91">
        <v>200010076</v>
      </c>
      <c r="B91">
        <v>273715040</v>
      </c>
      <c r="C91" s="11">
        <v>46230</v>
      </c>
      <c r="D91" s="1">
        <v>874175415384</v>
      </c>
      <c r="E91">
        <v>41779</v>
      </c>
      <c r="F91" t="s">
        <v>24</v>
      </c>
      <c r="G91" s="12">
        <v>5.5</v>
      </c>
      <c r="H91">
        <v>67</v>
      </c>
      <c r="I91">
        <v>22</v>
      </c>
      <c r="J91">
        <v>22</v>
      </c>
      <c r="K91" s="12">
        <v>5.5</v>
      </c>
      <c r="L91" t="s">
        <v>20</v>
      </c>
      <c r="M91" s="2">
        <v>2494</v>
      </c>
      <c r="N91" s="2">
        <v>363</v>
      </c>
      <c r="P91" s="2">
        <v>1092.8</v>
      </c>
      <c r="Q91" s="13">
        <f t="shared" si="3"/>
        <v>0.38249912495624777</v>
      </c>
      <c r="R91" s="14">
        <f t="shared" si="4"/>
        <v>3949.8</v>
      </c>
      <c r="S91" s="15">
        <f t="shared" si="5"/>
        <v>4660.7640000000001</v>
      </c>
    </row>
    <row r="92" spans="1:19" x14ac:dyDescent="0.3">
      <c r="A92">
        <v>200010076</v>
      </c>
      <c r="B92">
        <v>273715040</v>
      </c>
      <c r="C92" s="11">
        <v>46230</v>
      </c>
      <c r="D92" s="1">
        <v>874175415925</v>
      </c>
      <c r="E92">
        <v>39399</v>
      </c>
      <c r="F92" t="s">
        <v>24</v>
      </c>
      <c r="G92" s="12">
        <v>23</v>
      </c>
      <c r="H92">
        <v>86</v>
      </c>
      <c r="I92">
        <v>40</v>
      </c>
      <c r="J92">
        <v>39</v>
      </c>
      <c r="K92" s="12">
        <v>23</v>
      </c>
      <c r="L92" t="s">
        <v>20</v>
      </c>
      <c r="M92" s="2">
        <v>9138.7000000000007</v>
      </c>
      <c r="N92" s="2">
        <v>1518</v>
      </c>
      <c r="P92" s="2">
        <v>4076.2</v>
      </c>
      <c r="Q92" s="13">
        <f t="shared" si="3"/>
        <v>0.38250114951157482</v>
      </c>
      <c r="R92" s="14">
        <f t="shared" si="4"/>
        <v>14732.900000000001</v>
      </c>
      <c r="S92" s="15">
        <f t="shared" si="5"/>
        <v>17384.822</v>
      </c>
    </row>
    <row r="93" spans="1:19" x14ac:dyDescent="0.3">
      <c r="A93">
        <v>200010076</v>
      </c>
      <c r="B93">
        <v>273715040</v>
      </c>
      <c r="C93" s="11">
        <v>46230</v>
      </c>
      <c r="D93" s="1">
        <v>874175418350</v>
      </c>
      <c r="E93">
        <v>40405</v>
      </c>
      <c r="F93" t="s">
        <v>24</v>
      </c>
      <c r="G93" s="12">
        <v>6.5</v>
      </c>
      <c r="H93">
        <v>47</v>
      </c>
      <c r="I93">
        <v>28</v>
      </c>
      <c r="J93">
        <v>28</v>
      </c>
      <c r="K93" s="12">
        <v>6.5</v>
      </c>
      <c r="L93" t="s">
        <v>20</v>
      </c>
      <c r="M93" s="2">
        <v>2724.1</v>
      </c>
      <c r="N93" s="2">
        <v>429</v>
      </c>
      <c r="P93" s="2">
        <v>1206.0999999999999</v>
      </c>
      <c r="Q93" s="13">
        <f t="shared" si="3"/>
        <v>0.3825124480669817</v>
      </c>
      <c r="R93" s="14">
        <f t="shared" si="4"/>
        <v>4359.2</v>
      </c>
      <c r="S93" s="15">
        <f t="shared" si="5"/>
        <v>5143.8559999999998</v>
      </c>
    </row>
    <row r="94" spans="1:19" x14ac:dyDescent="0.3">
      <c r="A94">
        <v>200010076</v>
      </c>
      <c r="B94">
        <v>273715040</v>
      </c>
      <c r="C94" s="11">
        <v>46230</v>
      </c>
      <c r="D94" s="1">
        <v>874175424746</v>
      </c>
      <c r="E94">
        <v>7871670</v>
      </c>
      <c r="F94" t="s">
        <v>24</v>
      </c>
      <c r="G94" s="12">
        <v>2.04</v>
      </c>
      <c r="H94">
        <v>37</v>
      </c>
      <c r="I94">
        <v>18</v>
      </c>
      <c r="J94">
        <v>11</v>
      </c>
      <c r="K94" s="12">
        <v>2</v>
      </c>
      <c r="L94" t="s">
        <v>20</v>
      </c>
      <c r="M94" s="2">
        <v>1512.5</v>
      </c>
      <c r="N94" s="2">
        <v>132</v>
      </c>
      <c r="P94" s="2">
        <v>629</v>
      </c>
      <c r="Q94" s="13">
        <f t="shared" si="3"/>
        <v>0.38248707813925203</v>
      </c>
      <c r="R94" s="14">
        <f t="shared" si="4"/>
        <v>2273.5</v>
      </c>
      <c r="S94" s="15">
        <f t="shared" si="5"/>
        <v>2682.73</v>
      </c>
    </row>
    <row r="95" spans="1:19" x14ac:dyDescent="0.3">
      <c r="A95">
        <v>200010076</v>
      </c>
      <c r="B95">
        <v>273715040</v>
      </c>
      <c r="C95" s="11">
        <v>46230</v>
      </c>
      <c r="D95" s="1">
        <v>874175427480</v>
      </c>
      <c r="E95">
        <v>39525</v>
      </c>
      <c r="F95" t="s">
        <v>24</v>
      </c>
      <c r="G95" s="12">
        <v>8</v>
      </c>
      <c r="H95">
        <v>67</v>
      </c>
      <c r="I95">
        <v>26</v>
      </c>
      <c r="J95">
        <v>26</v>
      </c>
      <c r="K95" s="12">
        <v>8</v>
      </c>
      <c r="L95" t="s">
        <v>20</v>
      </c>
      <c r="M95" s="2">
        <v>3069.3</v>
      </c>
      <c r="N95" s="2">
        <v>528</v>
      </c>
      <c r="P95" s="2">
        <v>1376</v>
      </c>
      <c r="Q95" s="13">
        <f t="shared" si="3"/>
        <v>0.3825091040502599</v>
      </c>
      <c r="R95" s="14">
        <f t="shared" si="4"/>
        <v>4973.3</v>
      </c>
      <c r="S95" s="15">
        <f t="shared" si="5"/>
        <v>5868.4939999999997</v>
      </c>
    </row>
    <row r="96" spans="1:19" x14ac:dyDescent="0.3">
      <c r="A96">
        <v>200010076</v>
      </c>
      <c r="B96">
        <v>273715040</v>
      </c>
      <c r="C96" s="11">
        <v>46230</v>
      </c>
      <c r="D96" s="1">
        <v>874175430822</v>
      </c>
      <c r="E96">
        <v>38940</v>
      </c>
      <c r="F96" t="s">
        <v>24</v>
      </c>
      <c r="G96" s="12">
        <v>8.5</v>
      </c>
      <c r="H96">
        <v>61</v>
      </c>
      <c r="I96">
        <v>28</v>
      </c>
      <c r="J96">
        <v>28</v>
      </c>
      <c r="K96" s="12">
        <v>8.5</v>
      </c>
      <c r="L96" t="s">
        <v>20</v>
      </c>
      <c r="M96" s="2">
        <v>3184.4</v>
      </c>
      <c r="N96" s="2">
        <v>561</v>
      </c>
      <c r="P96" s="2">
        <v>1432.6</v>
      </c>
      <c r="Q96" s="13">
        <f t="shared" si="3"/>
        <v>0.38249586159021731</v>
      </c>
      <c r="R96" s="14">
        <f t="shared" si="4"/>
        <v>5178</v>
      </c>
      <c r="S96" s="15">
        <f t="shared" si="5"/>
        <v>6110.04</v>
      </c>
    </row>
    <row r="97" spans="1:19" x14ac:dyDescent="0.3">
      <c r="A97">
        <v>200010076</v>
      </c>
      <c r="B97">
        <v>273715040</v>
      </c>
      <c r="C97" s="11">
        <v>46230</v>
      </c>
      <c r="D97" s="1">
        <v>874175436934</v>
      </c>
      <c r="E97">
        <v>39845</v>
      </c>
      <c r="F97" t="s">
        <v>24</v>
      </c>
      <c r="G97" s="12">
        <v>4</v>
      </c>
      <c r="H97">
        <v>47</v>
      </c>
      <c r="I97">
        <v>22</v>
      </c>
      <c r="J97">
        <v>21</v>
      </c>
      <c r="K97" s="12">
        <v>4</v>
      </c>
      <c r="L97" t="s">
        <v>20</v>
      </c>
      <c r="M97" s="2">
        <v>1966.1</v>
      </c>
      <c r="N97" s="2">
        <v>264</v>
      </c>
      <c r="P97" s="2">
        <v>853</v>
      </c>
      <c r="Q97" s="13">
        <f t="shared" si="3"/>
        <v>0.38249405856239632</v>
      </c>
      <c r="R97" s="14">
        <f t="shared" si="4"/>
        <v>3083.1</v>
      </c>
      <c r="S97" s="15">
        <f t="shared" si="5"/>
        <v>3638.0579999999995</v>
      </c>
    </row>
    <row r="98" spans="1:19" x14ac:dyDescent="0.3">
      <c r="A98">
        <v>200010076</v>
      </c>
      <c r="B98">
        <v>273715040</v>
      </c>
      <c r="C98" s="11">
        <v>46230</v>
      </c>
      <c r="D98" s="1">
        <v>874175442296</v>
      </c>
      <c r="E98">
        <v>40467</v>
      </c>
      <c r="F98" t="s">
        <v>24</v>
      </c>
      <c r="G98" s="12">
        <v>5</v>
      </c>
      <c r="H98">
        <v>63</v>
      </c>
      <c r="I98">
        <v>21</v>
      </c>
      <c r="J98">
        <v>21</v>
      </c>
      <c r="K98" s="12">
        <v>5</v>
      </c>
      <c r="L98" t="s">
        <v>20</v>
      </c>
      <c r="M98" s="2">
        <v>2231.6999999999998</v>
      </c>
      <c r="N98" s="2">
        <v>330</v>
      </c>
      <c r="P98" s="2">
        <v>979.9</v>
      </c>
      <c r="Q98" s="13">
        <f t="shared" si="3"/>
        <v>0.3825194206971933</v>
      </c>
      <c r="R98" s="14">
        <f t="shared" si="4"/>
        <v>3541.6</v>
      </c>
      <c r="S98" s="15">
        <f t="shared" si="5"/>
        <v>4179.0879999999997</v>
      </c>
    </row>
    <row r="99" spans="1:19" x14ac:dyDescent="0.3">
      <c r="A99">
        <v>200010076</v>
      </c>
      <c r="B99">
        <v>273715040</v>
      </c>
      <c r="C99" s="11">
        <v>46230</v>
      </c>
      <c r="D99" s="1">
        <v>874175463700</v>
      </c>
      <c r="E99">
        <v>39723</v>
      </c>
      <c r="F99" t="s">
        <v>24</v>
      </c>
      <c r="G99" s="12">
        <v>4</v>
      </c>
      <c r="H99">
        <v>64</v>
      </c>
      <c r="I99">
        <v>19</v>
      </c>
      <c r="J99">
        <v>19</v>
      </c>
      <c r="K99" s="12">
        <v>4</v>
      </c>
      <c r="L99" t="s">
        <v>20</v>
      </c>
      <c r="M99" s="2">
        <v>1966.1</v>
      </c>
      <c r="N99" s="2">
        <v>264</v>
      </c>
      <c r="P99" s="2">
        <v>853</v>
      </c>
      <c r="Q99" s="13">
        <f t="shared" si="3"/>
        <v>0.38249405856239632</v>
      </c>
      <c r="R99" s="14">
        <f t="shared" si="4"/>
        <v>3083.1</v>
      </c>
      <c r="S99" s="15">
        <f t="shared" si="5"/>
        <v>3638.0579999999995</v>
      </c>
    </row>
    <row r="100" spans="1:19" x14ac:dyDescent="0.3">
      <c r="A100">
        <v>200010076</v>
      </c>
      <c r="B100">
        <v>273715040</v>
      </c>
      <c r="C100" s="11">
        <v>46230</v>
      </c>
      <c r="D100" s="1">
        <v>874175464669</v>
      </c>
      <c r="E100">
        <v>41173</v>
      </c>
      <c r="F100" t="s">
        <v>24</v>
      </c>
      <c r="G100" s="12">
        <v>9.5</v>
      </c>
      <c r="H100">
        <v>47</v>
      </c>
      <c r="I100">
        <v>35</v>
      </c>
      <c r="J100">
        <v>33</v>
      </c>
      <c r="K100" s="12">
        <v>9.5</v>
      </c>
      <c r="L100" t="s">
        <v>20</v>
      </c>
      <c r="M100" s="2">
        <v>3414.5</v>
      </c>
      <c r="N100" s="2">
        <v>627</v>
      </c>
      <c r="P100" s="2">
        <v>1545.9</v>
      </c>
      <c r="Q100" s="13">
        <f t="shared" si="3"/>
        <v>0.38250649511320056</v>
      </c>
      <c r="R100" s="14">
        <f t="shared" si="4"/>
        <v>5587.4</v>
      </c>
      <c r="S100" s="15">
        <f t="shared" si="5"/>
        <v>6593.1319999999996</v>
      </c>
    </row>
    <row r="101" spans="1:19" x14ac:dyDescent="0.3">
      <c r="A101">
        <v>200010076</v>
      </c>
      <c r="B101">
        <v>273715040</v>
      </c>
      <c r="C101" s="11">
        <v>46230</v>
      </c>
      <c r="D101" s="1">
        <v>874175473354</v>
      </c>
      <c r="E101">
        <v>40666</v>
      </c>
      <c r="F101" t="s">
        <v>24</v>
      </c>
      <c r="G101" s="12">
        <v>1.95</v>
      </c>
      <c r="H101">
        <v>47</v>
      </c>
      <c r="I101">
        <v>21</v>
      </c>
      <c r="J101">
        <v>19</v>
      </c>
      <c r="K101" s="12">
        <v>3.1</v>
      </c>
      <c r="L101" t="s">
        <v>20</v>
      </c>
      <c r="M101" s="2">
        <v>1833.3</v>
      </c>
      <c r="N101" s="2">
        <v>231</v>
      </c>
      <c r="P101" s="2">
        <v>789.6</v>
      </c>
      <c r="Q101" s="13">
        <f t="shared" si="3"/>
        <v>0.38250254323499489</v>
      </c>
      <c r="R101" s="14">
        <f t="shared" si="4"/>
        <v>2853.9</v>
      </c>
      <c r="S101" s="15">
        <f t="shared" si="5"/>
        <v>3367.6019999999999</v>
      </c>
    </row>
    <row r="102" spans="1:19" x14ac:dyDescent="0.3">
      <c r="A102">
        <v>200010076</v>
      </c>
      <c r="B102">
        <v>273715040</v>
      </c>
      <c r="C102" s="11">
        <v>46230</v>
      </c>
      <c r="D102" s="1">
        <v>874175483425</v>
      </c>
      <c r="E102">
        <v>41887</v>
      </c>
      <c r="F102" t="s">
        <v>24</v>
      </c>
      <c r="G102" s="12">
        <v>5</v>
      </c>
      <c r="H102">
        <v>51</v>
      </c>
      <c r="I102">
        <v>24</v>
      </c>
      <c r="J102">
        <v>23</v>
      </c>
      <c r="K102" s="12">
        <v>5</v>
      </c>
      <c r="L102" t="s">
        <v>20</v>
      </c>
      <c r="M102" s="2">
        <v>2231.6999999999998</v>
      </c>
      <c r="N102" s="2">
        <v>330</v>
      </c>
      <c r="P102" s="2">
        <v>979.9</v>
      </c>
      <c r="Q102" s="13">
        <f t="shared" si="3"/>
        <v>0.3825194206971933</v>
      </c>
      <c r="R102" s="14">
        <f t="shared" si="4"/>
        <v>3541.6</v>
      </c>
      <c r="S102" s="15">
        <f t="shared" si="5"/>
        <v>4179.0879999999997</v>
      </c>
    </row>
    <row r="103" spans="1:19" x14ac:dyDescent="0.3">
      <c r="A103">
        <v>200010076</v>
      </c>
      <c r="B103">
        <v>273715040</v>
      </c>
      <c r="C103" s="11">
        <v>46230</v>
      </c>
      <c r="D103" s="1">
        <v>874175484903</v>
      </c>
      <c r="E103">
        <v>41930</v>
      </c>
      <c r="F103" t="s">
        <v>24</v>
      </c>
      <c r="G103" s="12">
        <v>4</v>
      </c>
      <c r="H103">
        <v>48</v>
      </c>
      <c r="I103">
        <v>21</v>
      </c>
      <c r="J103">
        <v>20</v>
      </c>
      <c r="K103" s="12">
        <v>4</v>
      </c>
      <c r="L103" t="s">
        <v>20</v>
      </c>
      <c r="M103" s="2">
        <v>1966.1</v>
      </c>
      <c r="N103" s="2">
        <v>264</v>
      </c>
      <c r="P103" s="2">
        <v>853</v>
      </c>
      <c r="Q103" s="13">
        <f t="shared" si="3"/>
        <v>0.38249405856239632</v>
      </c>
      <c r="R103" s="14">
        <f t="shared" si="4"/>
        <v>3083.1</v>
      </c>
      <c r="S103" s="15">
        <f t="shared" si="5"/>
        <v>3638.0579999999995</v>
      </c>
    </row>
    <row r="104" spans="1:19" x14ac:dyDescent="0.3">
      <c r="A104">
        <v>200010076</v>
      </c>
      <c r="B104">
        <v>273715040</v>
      </c>
      <c r="C104" s="11">
        <v>46230</v>
      </c>
      <c r="D104" s="1">
        <v>874175498770</v>
      </c>
      <c r="E104">
        <v>40732</v>
      </c>
      <c r="F104" t="s">
        <v>24</v>
      </c>
      <c r="G104" s="12">
        <v>1.41</v>
      </c>
      <c r="H104">
        <v>28</v>
      </c>
      <c r="I104">
        <v>25</v>
      </c>
      <c r="J104">
        <v>15</v>
      </c>
      <c r="K104" s="12">
        <v>1.8</v>
      </c>
      <c r="L104" t="s">
        <v>20</v>
      </c>
      <c r="M104" s="2">
        <v>1512.5</v>
      </c>
      <c r="N104" s="2">
        <v>132</v>
      </c>
      <c r="P104" s="2">
        <v>629</v>
      </c>
      <c r="Q104" s="13">
        <f t="shared" si="3"/>
        <v>0.38248707813925203</v>
      </c>
      <c r="R104" s="14">
        <f t="shared" si="4"/>
        <v>2273.5</v>
      </c>
      <c r="S104" s="15">
        <f t="shared" si="5"/>
        <v>2682.73</v>
      </c>
    </row>
    <row r="105" spans="1:19" x14ac:dyDescent="0.3">
      <c r="A105">
        <v>200010076</v>
      </c>
      <c r="B105">
        <v>273715040</v>
      </c>
      <c r="C105" s="11">
        <v>46230</v>
      </c>
      <c r="D105" s="1">
        <v>874175506121</v>
      </c>
      <c r="E105">
        <v>39750</v>
      </c>
      <c r="F105" t="s">
        <v>24</v>
      </c>
      <c r="G105" s="12">
        <v>10.5</v>
      </c>
      <c r="H105">
        <v>85</v>
      </c>
      <c r="I105">
        <v>28</v>
      </c>
      <c r="J105">
        <v>26</v>
      </c>
      <c r="K105" s="12">
        <v>10.5</v>
      </c>
      <c r="L105" t="s">
        <v>20</v>
      </c>
      <c r="M105" s="2">
        <v>4575.1000000000004</v>
      </c>
      <c r="N105" s="2">
        <v>693</v>
      </c>
      <c r="P105" s="2">
        <v>2015.1</v>
      </c>
      <c r="Q105" s="13">
        <f t="shared" si="3"/>
        <v>0.38250982327594385</v>
      </c>
      <c r="R105" s="14">
        <f t="shared" si="4"/>
        <v>7283.2000000000007</v>
      </c>
      <c r="S105" s="15">
        <f t="shared" si="5"/>
        <v>8594.1760000000013</v>
      </c>
    </row>
    <row r="106" spans="1:19" x14ac:dyDescent="0.3">
      <c r="A106">
        <v>200010076</v>
      </c>
      <c r="B106">
        <v>273715040</v>
      </c>
      <c r="C106" s="11">
        <v>46230</v>
      </c>
      <c r="D106" s="1">
        <v>874175508845</v>
      </c>
      <c r="E106">
        <v>40460</v>
      </c>
      <c r="F106" t="s">
        <v>24</v>
      </c>
      <c r="G106" s="12">
        <v>18</v>
      </c>
      <c r="H106">
        <v>117</v>
      </c>
      <c r="I106">
        <v>30</v>
      </c>
      <c r="J106">
        <v>29</v>
      </c>
      <c r="K106" s="12">
        <v>18</v>
      </c>
      <c r="L106" t="s">
        <v>20</v>
      </c>
      <c r="M106" s="2">
        <v>7135.4</v>
      </c>
      <c r="N106" s="2">
        <v>1188</v>
      </c>
      <c r="P106" s="2">
        <v>3183.7</v>
      </c>
      <c r="Q106" s="13">
        <f t="shared" si="3"/>
        <v>0.38249993992839465</v>
      </c>
      <c r="R106" s="14">
        <f t="shared" si="4"/>
        <v>11507.099999999999</v>
      </c>
      <c r="S106" s="15">
        <f t="shared" si="5"/>
        <v>13578.377999999997</v>
      </c>
    </row>
    <row r="107" spans="1:19" x14ac:dyDescent="0.3">
      <c r="A107">
        <v>200010076</v>
      </c>
      <c r="B107">
        <v>273715040</v>
      </c>
      <c r="C107" s="11">
        <v>46230</v>
      </c>
      <c r="D107" s="1">
        <v>874175518504</v>
      </c>
      <c r="E107">
        <v>41617</v>
      </c>
      <c r="F107" t="s">
        <v>24</v>
      </c>
      <c r="G107" s="12">
        <v>4</v>
      </c>
      <c r="H107">
        <v>48</v>
      </c>
      <c r="I107">
        <v>22</v>
      </c>
      <c r="J107">
        <v>21</v>
      </c>
      <c r="K107" s="12">
        <v>4</v>
      </c>
      <c r="L107" t="s">
        <v>20</v>
      </c>
      <c r="M107" s="2">
        <v>1966.1</v>
      </c>
      <c r="N107" s="2">
        <v>264</v>
      </c>
      <c r="P107" s="2">
        <v>853</v>
      </c>
      <c r="Q107" s="13">
        <f t="shared" si="3"/>
        <v>0.38249405856239632</v>
      </c>
      <c r="R107" s="14">
        <f t="shared" si="4"/>
        <v>3083.1</v>
      </c>
      <c r="S107" s="15">
        <f t="shared" si="5"/>
        <v>3638.0579999999995</v>
      </c>
    </row>
    <row r="108" spans="1:19" x14ac:dyDescent="0.3">
      <c r="A108">
        <v>200010076</v>
      </c>
      <c r="B108">
        <v>273715040</v>
      </c>
      <c r="C108" s="11">
        <v>46230</v>
      </c>
      <c r="D108" s="1">
        <v>874175520456</v>
      </c>
      <c r="E108">
        <v>39995</v>
      </c>
      <c r="F108" t="s">
        <v>24</v>
      </c>
      <c r="G108" s="12">
        <v>1</v>
      </c>
      <c r="H108">
        <v>33</v>
      </c>
      <c r="I108">
        <v>14</v>
      </c>
      <c r="J108">
        <v>12</v>
      </c>
      <c r="K108" s="12">
        <v>1</v>
      </c>
      <c r="L108" t="s">
        <v>20</v>
      </c>
      <c r="M108" s="2">
        <v>1194.8</v>
      </c>
      <c r="N108" s="2">
        <v>66</v>
      </c>
      <c r="P108" s="2">
        <v>482.3</v>
      </c>
      <c r="Q108" s="13">
        <f t="shared" si="3"/>
        <v>0.38253489847715738</v>
      </c>
      <c r="R108" s="14">
        <f t="shared" si="4"/>
        <v>1743.1</v>
      </c>
      <c r="S108" s="15">
        <f t="shared" si="5"/>
        <v>2056.8579999999997</v>
      </c>
    </row>
    <row r="109" spans="1:19" x14ac:dyDescent="0.3">
      <c r="A109">
        <v>200010076</v>
      </c>
      <c r="B109">
        <v>273715040</v>
      </c>
      <c r="C109" s="11">
        <v>46230</v>
      </c>
      <c r="D109" s="1">
        <v>874175525610</v>
      </c>
      <c r="E109">
        <v>41540</v>
      </c>
      <c r="F109" t="s">
        <v>24</v>
      </c>
      <c r="G109" s="12">
        <v>5</v>
      </c>
      <c r="H109">
        <v>42</v>
      </c>
      <c r="I109">
        <v>27</v>
      </c>
      <c r="J109">
        <v>26</v>
      </c>
      <c r="K109" s="12">
        <v>5</v>
      </c>
      <c r="L109" t="s">
        <v>20</v>
      </c>
      <c r="M109" s="2">
        <v>2231.6999999999998</v>
      </c>
      <c r="N109" s="2">
        <v>330</v>
      </c>
      <c r="P109" s="2">
        <v>979.9</v>
      </c>
      <c r="Q109" s="13">
        <f t="shared" si="3"/>
        <v>0.3825194206971933</v>
      </c>
      <c r="R109" s="14">
        <f t="shared" si="4"/>
        <v>3541.6</v>
      </c>
      <c r="S109" s="15">
        <f t="shared" si="5"/>
        <v>4179.0879999999997</v>
      </c>
    </row>
    <row r="110" spans="1:19" x14ac:dyDescent="0.3">
      <c r="A110">
        <v>200010076</v>
      </c>
      <c r="B110">
        <v>273715040</v>
      </c>
      <c r="C110" s="11">
        <v>46230</v>
      </c>
      <c r="D110" s="1">
        <v>874175533310</v>
      </c>
      <c r="E110">
        <v>40261</v>
      </c>
      <c r="F110" t="s">
        <v>24</v>
      </c>
      <c r="G110" s="12">
        <v>8</v>
      </c>
      <c r="H110">
        <v>65</v>
      </c>
      <c r="I110">
        <v>27</v>
      </c>
      <c r="J110">
        <v>26</v>
      </c>
      <c r="K110" s="12">
        <v>8</v>
      </c>
      <c r="L110" t="s">
        <v>20</v>
      </c>
      <c r="M110" s="2">
        <v>3069.3</v>
      </c>
      <c r="N110" s="2">
        <v>528</v>
      </c>
      <c r="P110" s="2">
        <v>1376</v>
      </c>
      <c r="Q110" s="13">
        <f t="shared" si="3"/>
        <v>0.3825091040502599</v>
      </c>
      <c r="R110" s="14">
        <f t="shared" si="4"/>
        <v>4973.3</v>
      </c>
      <c r="S110" s="15">
        <f t="shared" si="5"/>
        <v>5868.4939999999997</v>
      </c>
    </row>
    <row r="111" spans="1:19" x14ac:dyDescent="0.3">
      <c r="A111">
        <v>200010076</v>
      </c>
      <c r="B111">
        <v>273715040</v>
      </c>
      <c r="C111" s="11">
        <v>46230</v>
      </c>
      <c r="D111" s="1">
        <v>874175534121</v>
      </c>
      <c r="E111">
        <v>39884</v>
      </c>
      <c r="F111" t="s">
        <v>24</v>
      </c>
      <c r="G111" s="12">
        <v>5.5</v>
      </c>
      <c r="H111">
        <v>62</v>
      </c>
      <c r="I111">
        <v>24</v>
      </c>
      <c r="J111">
        <v>21</v>
      </c>
      <c r="K111" s="12">
        <v>5.5</v>
      </c>
      <c r="L111" t="s">
        <v>20</v>
      </c>
      <c r="M111" s="2">
        <v>2494</v>
      </c>
      <c r="N111" s="2">
        <v>363</v>
      </c>
      <c r="P111" s="2">
        <v>1092.8</v>
      </c>
      <c r="Q111" s="13">
        <f t="shared" si="3"/>
        <v>0.38249912495624777</v>
      </c>
      <c r="R111" s="14">
        <f t="shared" si="4"/>
        <v>3949.8</v>
      </c>
      <c r="S111" s="15">
        <f t="shared" si="5"/>
        <v>4660.7640000000001</v>
      </c>
    </row>
    <row r="112" spans="1:19" x14ac:dyDescent="0.3">
      <c r="A112">
        <v>200010076</v>
      </c>
      <c r="B112">
        <v>273715040</v>
      </c>
      <c r="C112" s="11">
        <v>46230</v>
      </c>
      <c r="D112" s="1">
        <v>874175534603</v>
      </c>
      <c r="E112">
        <v>40106</v>
      </c>
      <c r="F112" t="s">
        <v>24</v>
      </c>
      <c r="G112" s="12">
        <v>6</v>
      </c>
      <c r="H112">
        <v>47</v>
      </c>
      <c r="I112">
        <v>27</v>
      </c>
      <c r="J112">
        <v>26</v>
      </c>
      <c r="K112" s="12">
        <v>6</v>
      </c>
      <c r="L112" t="s">
        <v>20</v>
      </c>
      <c r="M112" s="2">
        <v>2609.1</v>
      </c>
      <c r="N112" s="2">
        <v>396</v>
      </c>
      <c r="P112" s="2">
        <v>1149.5</v>
      </c>
      <c r="Q112" s="13">
        <f t="shared" si="3"/>
        <v>0.38251638880569699</v>
      </c>
      <c r="R112" s="14">
        <f t="shared" si="4"/>
        <v>4154.6000000000004</v>
      </c>
      <c r="S112" s="15">
        <f t="shared" si="5"/>
        <v>4902.4279999999999</v>
      </c>
    </row>
    <row r="113" spans="1:19" x14ac:dyDescent="0.3">
      <c r="A113">
        <v>200010076</v>
      </c>
      <c r="B113">
        <v>273715040</v>
      </c>
      <c r="C113" s="11">
        <v>46230</v>
      </c>
      <c r="D113" s="1">
        <v>874175549547</v>
      </c>
      <c r="E113">
        <v>40207</v>
      </c>
      <c r="F113" t="s">
        <v>24</v>
      </c>
      <c r="G113" s="12">
        <v>4.5</v>
      </c>
      <c r="H113">
        <v>53</v>
      </c>
      <c r="I113">
        <v>21</v>
      </c>
      <c r="J113">
        <v>21</v>
      </c>
      <c r="K113" s="12">
        <v>4.5</v>
      </c>
      <c r="L113" t="s">
        <v>20</v>
      </c>
      <c r="M113" s="2">
        <v>2098.9</v>
      </c>
      <c r="N113" s="2">
        <v>297</v>
      </c>
      <c r="P113" s="2">
        <v>916.4</v>
      </c>
      <c r="Q113" s="13">
        <f t="shared" si="3"/>
        <v>0.3824867481948328</v>
      </c>
      <c r="R113" s="14">
        <f t="shared" si="4"/>
        <v>3312.3</v>
      </c>
      <c r="S113" s="15">
        <f t="shared" si="5"/>
        <v>3908.5140000000001</v>
      </c>
    </row>
    <row r="114" spans="1:19" x14ac:dyDescent="0.3">
      <c r="A114">
        <v>200010076</v>
      </c>
      <c r="B114">
        <v>273715040</v>
      </c>
      <c r="C114" s="11">
        <v>46230</v>
      </c>
      <c r="D114" s="1">
        <v>874175565635</v>
      </c>
      <c r="E114">
        <v>41082</v>
      </c>
      <c r="F114" t="s">
        <v>24</v>
      </c>
      <c r="G114" s="12">
        <v>4</v>
      </c>
      <c r="H114">
        <v>37</v>
      </c>
      <c r="I114">
        <v>24</v>
      </c>
      <c r="J114">
        <v>23</v>
      </c>
      <c r="K114" s="12">
        <v>4</v>
      </c>
      <c r="L114" t="s">
        <v>20</v>
      </c>
      <c r="M114" s="2">
        <v>1966.1</v>
      </c>
      <c r="N114" s="2">
        <v>264</v>
      </c>
      <c r="P114" s="2">
        <v>853</v>
      </c>
      <c r="Q114" s="13">
        <f t="shared" si="3"/>
        <v>0.38249405856239632</v>
      </c>
      <c r="R114" s="14">
        <f t="shared" si="4"/>
        <v>3083.1</v>
      </c>
      <c r="S114" s="15">
        <f t="shared" si="5"/>
        <v>3638.0579999999995</v>
      </c>
    </row>
    <row r="115" spans="1:19" x14ac:dyDescent="0.3">
      <c r="A115">
        <v>200010076</v>
      </c>
      <c r="B115">
        <v>273715040</v>
      </c>
      <c r="C115" s="11">
        <v>46230</v>
      </c>
      <c r="D115" s="1">
        <v>874175566686</v>
      </c>
      <c r="E115">
        <v>40891</v>
      </c>
      <c r="F115" t="s">
        <v>24</v>
      </c>
      <c r="G115" s="12">
        <v>5.5</v>
      </c>
      <c r="H115">
        <v>60</v>
      </c>
      <c r="I115">
        <v>24</v>
      </c>
      <c r="J115">
        <v>22</v>
      </c>
      <c r="K115" s="12">
        <v>5.5</v>
      </c>
      <c r="L115" t="s">
        <v>20</v>
      </c>
      <c r="M115" s="2">
        <v>2494</v>
      </c>
      <c r="N115" s="2">
        <v>363</v>
      </c>
      <c r="P115" s="2">
        <v>1092.8</v>
      </c>
      <c r="Q115" s="13">
        <f t="shared" si="3"/>
        <v>0.38249912495624777</v>
      </c>
      <c r="R115" s="14">
        <f t="shared" si="4"/>
        <v>3949.8</v>
      </c>
      <c r="S115" s="15">
        <f t="shared" si="5"/>
        <v>4660.7640000000001</v>
      </c>
    </row>
    <row r="116" spans="1:19" x14ac:dyDescent="0.3">
      <c r="A116">
        <v>200010076</v>
      </c>
      <c r="B116">
        <v>273715040</v>
      </c>
      <c r="C116" s="11">
        <v>46230</v>
      </c>
      <c r="D116" s="1">
        <v>874175566778</v>
      </c>
      <c r="E116">
        <v>40471</v>
      </c>
      <c r="F116" t="s">
        <v>24</v>
      </c>
      <c r="G116" s="12">
        <v>8.5</v>
      </c>
      <c r="H116">
        <v>75</v>
      </c>
      <c r="I116">
        <v>26</v>
      </c>
      <c r="J116">
        <v>25</v>
      </c>
      <c r="K116" s="12">
        <v>8.5</v>
      </c>
      <c r="L116" t="s">
        <v>20</v>
      </c>
      <c r="M116" s="2">
        <v>3184.4</v>
      </c>
      <c r="N116" s="2">
        <v>561</v>
      </c>
      <c r="P116" s="2">
        <v>1432.6</v>
      </c>
      <c r="Q116" s="13">
        <f t="shared" si="3"/>
        <v>0.38249586159021731</v>
      </c>
      <c r="R116" s="14">
        <f t="shared" si="4"/>
        <v>5178</v>
      </c>
      <c r="S116" s="15">
        <f t="shared" si="5"/>
        <v>6110.04</v>
      </c>
    </row>
    <row r="117" spans="1:19" x14ac:dyDescent="0.3">
      <c r="A117">
        <v>200010076</v>
      </c>
      <c r="B117">
        <v>273715040</v>
      </c>
      <c r="C117" s="11">
        <v>46230</v>
      </c>
      <c r="D117" s="1">
        <v>874175569906</v>
      </c>
      <c r="E117">
        <v>41380</v>
      </c>
      <c r="F117" t="s">
        <v>24</v>
      </c>
      <c r="G117" s="12">
        <v>4</v>
      </c>
      <c r="H117">
        <v>45</v>
      </c>
      <c r="I117">
        <v>23</v>
      </c>
      <c r="J117">
        <v>21</v>
      </c>
      <c r="K117" s="12">
        <v>4</v>
      </c>
      <c r="L117" t="s">
        <v>20</v>
      </c>
      <c r="M117" s="2">
        <v>1966.1</v>
      </c>
      <c r="N117" s="2">
        <v>264</v>
      </c>
      <c r="P117" s="2">
        <v>853</v>
      </c>
      <c r="Q117" s="13">
        <f t="shared" si="3"/>
        <v>0.38249405856239632</v>
      </c>
      <c r="R117" s="14">
        <f t="shared" si="4"/>
        <v>3083.1</v>
      </c>
      <c r="S117" s="15">
        <f t="shared" si="5"/>
        <v>3638.0579999999995</v>
      </c>
    </row>
    <row r="118" spans="1:19" x14ac:dyDescent="0.3">
      <c r="A118">
        <v>200010076</v>
      </c>
      <c r="B118">
        <v>273715040</v>
      </c>
      <c r="C118" s="11">
        <v>46230</v>
      </c>
      <c r="D118" s="1">
        <v>874175575338</v>
      </c>
      <c r="E118">
        <v>39936</v>
      </c>
      <c r="F118" t="s">
        <v>24</v>
      </c>
      <c r="G118" s="12">
        <v>8.5</v>
      </c>
      <c r="H118">
        <v>54</v>
      </c>
      <c r="I118">
        <v>32</v>
      </c>
      <c r="J118">
        <v>28</v>
      </c>
      <c r="K118" s="12">
        <v>8.5</v>
      </c>
      <c r="L118" t="s">
        <v>20</v>
      </c>
      <c r="M118" s="2">
        <v>3184.4</v>
      </c>
      <c r="N118" s="2">
        <v>561</v>
      </c>
      <c r="P118" s="2">
        <v>1432.6</v>
      </c>
      <c r="Q118" s="13">
        <f t="shared" si="3"/>
        <v>0.38249586159021731</v>
      </c>
      <c r="R118" s="14">
        <f t="shared" si="4"/>
        <v>5178</v>
      </c>
      <c r="S118" s="15">
        <f t="shared" si="5"/>
        <v>6110.04</v>
      </c>
    </row>
    <row r="119" spans="1:19" x14ac:dyDescent="0.3">
      <c r="A119">
        <v>200010076</v>
      </c>
      <c r="B119">
        <v>273715040</v>
      </c>
      <c r="C119" s="11">
        <v>46230</v>
      </c>
      <c r="D119" s="1">
        <v>874175289325</v>
      </c>
      <c r="E119">
        <v>42394</v>
      </c>
      <c r="F119" t="s">
        <v>24</v>
      </c>
      <c r="G119" s="12">
        <v>0.5</v>
      </c>
      <c r="K119" s="12">
        <v>0</v>
      </c>
      <c r="L119" t="s">
        <v>20</v>
      </c>
      <c r="M119" s="2">
        <v>1031.7</v>
      </c>
      <c r="N119" s="2">
        <v>42.5</v>
      </c>
      <c r="P119" s="2">
        <v>410.9</v>
      </c>
      <c r="Q119" s="13">
        <f t="shared" si="3"/>
        <v>0.38251722211878603</v>
      </c>
      <c r="R119" s="14">
        <f t="shared" si="4"/>
        <v>1485.1</v>
      </c>
      <c r="S119" s="15">
        <f t="shared" si="5"/>
        <v>1752.4179999999999</v>
      </c>
    </row>
    <row r="120" spans="1:19" x14ac:dyDescent="0.3">
      <c r="A120">
        <v>200010076</v>
      </c>
      <c r="B120">
        <v>273715040</v>
      </c>
      <c r="C120" s="11">
        <v>46230</v>
      </c>
      <c r="D120" s="1">
        <v>874175291965</v>
      </c>
      <c r="E120">
        <v>42396</v>
      </c>
      <c r="F120" t="s">
        <v>24</v>
      </c>
      <c r="G120" s="12">
        <v>0.5</v>
      </c>
      <c r="K120" s="12">
        <v>0</v>
      </c>
      <c r="L120" t="s">
        <v>20</v>
      </c>
      <c r="M120" s="2">
        <v>1031.7</v>
      </c>
      <c r="N120" s="2">
        <v>42.5</v>
      </c>
      <c r="P120" s="2">
        <v>410.9</v>
      </c>
      <c r="Q120" s="13">
        <f t="shared" si="3"/>
        <v>0.38251722211878603</v>
      </c>
      <c r="R120" s="14">
        <f t="shared" si="4"/>
        <v>1485.1</v>
      </c>
      <c r="S120" s="15">
        <f t="shared" si="5"/>
        <v>1752.4179999999999</v>
      </c>
    </row>
    <row r="121" spans="1:19" x14ac:dyDescent="0.3">
      <c r="A121">
        <v>200010076</v>
      </c>
      <c r="B121">
        <v>273715040</v>
      </c>
      <c r="C121" s="11">
        <v>46230</v>
      </c>
      <c r="D121" s="1">
        <v>874175293306</v>
      </c>
      <c r="E121">
        <v>42431</v>
      </c>
      <c r="F121" t="s">
        <v>24</v>
      </c>
      <c r="G121" s="12">
        <v>0.5</v>
      </c>
      <c r="K121" s="12">
        <v>0</v>
      </c>
      <c r="L121" t="s">
        <v>20</v>
      </c>
      <c r="M121" s="2">
        <v>1031.7</v>
      </c>
      <c r="N121" s="2">
        <v>42.5</v>
      </c>
      <c r="P121" s="2">
        <v>410.9</v>
      </c>
      <c r="Q121" s="13">
        <f t="shared" si="3"/>
        <v>0.38251722211878603</v>
      </c>
      <c r="R121" s="14">
        <f t="shared" si="4"/>
        <v>1485.1</v>
      </c>
      <c r="S121" s="15">
        <f t="shared" si="5"/>
        <v>1752.4179999999999</v>
      </c>
    </row>
    <row r="122" spans="1:19" x14ac:dyDescent="0.3">
      <c r="A122">
        <v>200010076</v>
      </c>
      <c r="B122">
        <v>273715040</v>
      </c>
      <c r="C122" s="11">
        <v>46230</v>
      </c>
      <c r="D122" s="1">
        <v>874175312739</v>
      </c>
      <c r="E122">
        <v>42462</v>
      </c>
      <c r="F122" t="s">
        <v>24</v>
      </c>
      <c r="G122" s="12">
        <v>0.5</v>
      </c>
      <c r="K122" s="12">
        <v>0</v>
      </c>
      <c r="L122" t="s">
        <v>20</v>
      </c>
      <c r="M122" s="2">
        <v>1031.7</v>
      </c>
      <c r="N122" s="2">
        <v>42.5</v>
      </c>
      <c r="P122" s="2">
        <v>410.9</v>
      </c>
      <c r="Q122" s="13">
        <f t="shared" si="3"/>
        <v>0.38251722211878603</v>
      </c>
      <c r="R122" s="14">
        <f t="shared" si="4"/>
        <v>1485.1</v>
      </c>
      <c r="S122" s="15">
        <f t="shared" si="5"/>
        <v>1752.4179999999999</v>
      </c>
    </row>
    <row r="123" spans="1:19" x14ac:dyDescent="0.3">
      <c r="A123">
        <v>200010076</v>
      </c>
      <c r="B123">
        <v>273715040</v>
      </c>
      <c r="C123" s="11">
        <v>46230</v>
      </c>
      <c r="D123" s="1">
        <v>874175319950</v>
      </c>
      <c r="E123">
        <v>42340</v>
      </c>
      <c r="F123" t="s">
        <v>24</v>
      </c>
      <c r="G123" s="12">
        <v>0.5</v>
      </c>
      <c r="K123" s="12">
        <v>0</v>
      </c>
      <c r="L123" t="s">
        <v>20</v>
      </c>
      <c r="M123" s="2">
        <v>1031.7</v>
      </c>
      <c r="N123" s="2">
        <v>42.5</v>
      </c>
      <c r="P123" s="2">
        <v>410.9</v>
      </c>
      <c r="Q123" s="13">
        <f t="shared" si="3"/>
        <v>0.38251722211878603</v>
      </c>
      <c r="R123" s="14">
        <f t="shared" si="4"/>
        <v>1485.1</v>
      </c>
      <c r="S123" s="15">
        <f t="shared" si="5"/>
        <v>1752.4179999999999</v>
      </c>
    </row>
    <row r="124" spans="1:19" x14ac:dyDescent="0.3">
      <c r="A124">
        <v>200010076</v>
      </c>
      <c r="B124">
        <v>273715040</v>
      </c>
      <c r="C124" s="11">
        <v>46230</v>
      </c>
      <c r="D124" s="1">
        <v>874175330933</v>
      </c>
      <c r="E124">
        <v>42449</v>
      </c>
      <c r="F124" t="s">
        <v>24</v>
      </c>
      <c r="G124" s="12">
        <v>0.5</v>
      </c>
      <c r="K124" s="12">
        <v>0</v>
      </c>
      <c r="L124" t="s">
        <v>20</v>
      </c>
      <c r="M124" s="2">
        <v>1031.7</v>
      </c>
      <c r="N124" s="2">
        <v>42.5</v>
      </c>
      <c r="P124" s="2">
        <v>410.9</v>
      </c>
      <c r="Q124" s="13">
        <f t="shared" si="3"/>
        <v>0.38251722211878603</v>
      </c>
      <c r="R124" s="14">
        <f t="shared" si="4"/>
        <v>1485.1</v>
      </c>
      <c r="S124" s="15">
        <f t="shared" si="5"/>
        <v>1752.4179999999999</v>
      </c>
    </row>
    <row r="125" spans="1:19" x14ac:dyDescent="0.3">
      <c r="A125">
        <v>200010076</v>
      </c>
      <c r="B125">
        <v>273715040</v>
      </c>
      <c r="C125" s="11">
        <v>46230</v>
      </c>
      <c r="D125" s="1">
        <v>874175334550</v>
      </c>
      <c r="E125">
        <v>42421</v>
      </c>
      <c r="F125" t="s">
        <v>24</v>
      </c>
      <c r="G125" s="12">
        <v>0.5</v>
      </c>
      <c r="K125" s="12">
        <v>0</v>
      </c>
      <c r="L125" t="s">
        <v>20</v>
      </c>
      <c r="M125" s="2">
        <v>1031.7</v>
      </c>
      <c r="N125" s="2">
        <v>42.5</v>
      </c>
      <c r="P125" s="2">
        <v>410.9</v>
      </c>
      <c r="Q125" s="13">
        <f t="shared" si="3"/>
        <v>0.38251722211878603</v>
      </c>
      <c r="R125" s="14">
        <f t="shared" si="4"/>
        <v>1485.1</v>
      </c>
      <c r="S125" s="15">
        <f t="shared" si="5"/>
        <v>1752.4179999999999</v>
      </c>
    </row>
    <row r="126" spans="1:19" x14ac:dyDescent="0.3">
      <c r="A126">
        <v>200010076</v>
      </c>
      <c r="B126">
        <v>273715040</v>
      </c>
      <c r="C126" s="11">
        <v>46230</v>
      </c>
      <c r="D126" s="1">
        <v>874175354713</v>
      </c>
      <c r="E126">
        <v>42389</v>
      </c>
      <c r="F126" t="s">
        <v>24</v>
      </c>
      <c r="G126" s="12">
        <v>0.5</v>
      </c>
      <c r="K126" s="12">
        <v>0</v>
      </c>
      <c r="L126" t="s">
        <v>20</v>
      </c>
      <c r="M126" s="2">
        <v>1031.7</v>
      </c>
      <c r="N126" s="2">
        <v>42.5</v>
      </c>
      <c r="P126" s="2">
        <v>410.9</v>
      </c>
      <c r="Q126" s="13">
        <f t="shared" si="3"/>
        <v>0.38251722211878603</v>
      </c>
      <c r="R126" s="14">
        <f t="shared" si="4"/>
        <v>1485.1</v>
      </c>
      <c r="S126" s="15">
        <f t="shared" si="5"/>
        <v>1752.4179999999999</v>
      </c>
    </row>
    <row r="127" spans="1:19" x14ac:dyDescent="0.3">
      <c r="A127">
        <v>200010076</v>
      </c>
      <c r="B127">
        <v>273715040</v>
      </c>
      <c r="C127" s="11">
        <v>46230</v>
      </c>
      <c r="D127" s="1">
        <v>874175378011</v>
      </c>
      <c r="E127">
        <v>42430</v>
      </c>
      <c r="F127" t="s">
        <v>24</v>
      </c>
      <c r="G127" s="12">
        <v>0.5</v>
      </c>
      <c r="K127" s="12">
        <v>0</v>
      </c>
      <c r="L127" t="s">
        <v>20</v>
      </c>
      <c r="M127" s="2">
        <v>1031.7</v>
      </c>
      <c r="N127" s="2">
        <v>42.5</v>
      </c>
      <c r="P127" s="2">
        <v>410.9</v>
      </c>
      <c r="Q127" s="13">
        <f t="shared" si="3"/>
        <v>0.38251722211878603</v>
      </c>
      <c r="R127" s="14">
        <f t="shared" si="4"/>
        <v>1485.1</v>
      </c>
      <c r="S127" s="15">
        <f t="shared" si="5"/>
        <v>1752.4179999999999</v>
      </c>
    </row>
    <row r="128" spans="1:19" x14ac:dyDescent="0.3">
      <c r="A128">
        <v>200010076</v>
      </c>
      <c r="B128">
        <v>273715040</v>
      </c>
      <c r="C128" s="11">
        <v>46230</v>
      </c>
      <c r="D128" s="1">
        <v>874175406200</v>
      </c>
      <c r="E128">
        <v>42447</v>
      </c>
      <c r="F128" t="s">
        <v>24</v>
      </c>
      <c r="G128" s="12">
        <v>0.5</v>
      </c>
      <c r="K128" s="12">
        <v>0</v>
      </c>
      <c r="L128" t="s">
        <v>20</v>
      </c>
      <c r="M128" s="2">
        <v>1031.7</v>
      </c>
      <c r="N128" s="2">
        <v>42.5</v>
      </c>
      <c r="P128" s="2">
        <v>410.9</v>
      </c>
      <c r="Q128" s="13">
        <f t="shared" si="3"/>
        <v>0.38251722211878603</v>
      </c>
      <c r="R128" s="14">
        <f t="shared" si="4"/>
        <v>1485.1</v>
      </c>
      <c r="S128" s="15">
        <f t="shared" si="5"/>
        <v>1752.4179999999999</v>
      </c>
    </row>
    <row r="129" spans="1:19" x14ac:dyDescent="0.3">
      <c r="A129">
        <v>200010076</v>
      </c>
      <c r="B129">
        <v>273715040</v>
      </c>
      <c r="C129" s="11">
        <v>46230</v>
      </c>
      <c r="D129" s="1">
        <v>874175425720</v>
      </c>
      <c r="E129">
        <v>40472</v>
      </c>
      <c r="F129" t="s">
        <v>24</v>
      </c>
      <c r="G129" s="12">
        <v>1.41</v>
      </c>
      <c r="K129" s="12">
        <v>0</v>
      </c>
      <c r="L129" t="s">
        <v>20</v>
      </c>
      <c r="M129" s="2">
        <v>1298.8</v>
      </c>
      <c r="N129" s="2">
        <v>99</v>
      </c>
      <c r="P129" s="2">
        <v>534.70000000000005</v>
      </c>
      <c r="Q129" s="13">
        <f t="shared" si="3"/>
        <v>0.38252968951209049</v>
      </c>
      <c r="R129" s="14">
        <f t="shared" si="4"/>
        <v>1932.5</v>
      </c>
      <c r="S129" s="15">
        <f t="shared" si="5"/>
        <v>2280.35</v>
      </c>
    </row>
    <row r="130" spans="1:19" x14ac:dyDescent="0.3">
      <c r="A130">
        <v>200010076</v>
      </c>
      <c r="B130">
        <v>273715040</v>
      </c>
      <c r="C130" s="11">
        <v>46230</v>
      </c>
      <c r="D130" s="1">
        <v>874175443844</v>
      </c>
      <c r="E130">
        <v>42365</v>
      </c>
      <c r="F130" t="s">
        <v>24</v>
      </c>
      <c r="G130" s="12">
        <v>0.5</v>
      </c>
      <c r="K130" s="12">
        <v>0</v>
      </c>
      <c r="L130" t="s">
        <v>20</v>
      </c>
      <c r="M130" s="2">
        <v>1031.7</v>
      </c>
      <c r="N130" s="2">
        <v>42.5</v>
      </c>
      <c r="P130" s="2">
        <v>410.9</v>
      </c>
      <c r="Q130" s="13">
        <f t="shared" si="3"/>
        <v>0.38251722211878603</v>
      </c>
      <c r="R130" s="14">
        <f t="shared" si="4"/>
        <v>1485.1</v>
      </c>
      <c r="S130" s="15">
        <f t="shared" si="5"/>
        <v>1752.4179999999999</v>
      </c>
    </row>
    <row r="131" spans="1:19" x14ac:dyDescent="0.3">
      <c r="A131">
        <v>200010076</v>
      </c>
      <c r="B131">
        <v>273715040</v>
      </c>
      <c r="C131" s="11">
        <v>46230</v>
      </c>
      <c r="D131" s="1">
        <v>874175449875</v>
      </c>
      <c r="E131">
        <v>42374</v>
      </c>
      <c r="F131" t="s">
        <v>24</v>
      </c>
      <c r="G131" s="12">
        <v>0.5</v>
      </c>
      <c r="K131" s="12">
        <v>0</v>
      </c>
      <c r="L131" t="s">
        <v>20</v>
      </c>
      <c r="M131" s="2">
        <v>1031.7</v>
      </c>
      <c r="N131" s="2">
        <v>42.5</v>
      </c>
      <c r="P131" s="2">
        <v>410.9</v>
      </c>
      <c r="Q131" s="13">
        <f t="shared" si="3"/>
        <v>0.38251722211878603</v>
      </c>
      <c r="R131" s="14">
        <f t="shared" si="4"/>
        <v>1485.1</v>
      </c>
      <c r="S131" s="15">
        <f t="shared" si="5"/>
        <v>1752.4179999999999</v>
      </c>
    </row>
    <row r="132" spans="1:19" x14ac:dyDescent="0.3">
      <c r="A132">
        <v>200010076</v>
      </c>
      <c r="B132">
        <v>273715040</v>
      </c>
      <c r="C132" s="11">
        <v>46230</v>
      </c>
      <c r="D132" s="1">
        <v>874175451897</v>
      </c>
      <c r="E132">
        <v>40756</v>
      </c>
      <c r="F132" t="s">
        <v>24</v>
      </c>
      <c r="G132" s="12">
        <v>0.45</v>
      </c>
      <c r="K132" s="12">
        <v>0</v>
      </c>
      <c r="L132" t="s">
        <v>20</v>
      </c>
      <c r="M132" s="2">
        <v>1031.7</v>
      </c>
      <c r="N132" s="2">
        <v>42.5</v>
      </c>
      <c r="P132" s="2">
        <v>410.9</v>
      </c>
      <c r="Q132" s="13">
        <f t="shared" si="3"/>
        <v>0.38251722211878603</v>
      </c>
      <c r="R132" s="14">
        <f t="shared" si="4"/>
        <v>1485.1</v>
      </c>
      <c r="S132" s="15">
        <f t="shared" si="5"/>
        <v>1752.4179999999999</v>
      </c>
    </row>
    <row r="133" spans="1:19" x14ac:dyDescent="0.3">
      <c r="A133">
        <v>200010076</v>
      </c>
      <c r="B133">
        <v>273715040</v>
      </c>
      <c r="C133" s="11">
        <v>46230</v>
      </c>
      <c r="D133" s="1">
        <v>874175454234</v>
      </c>
      <c r="E133">
        <v>42398</v>
      </c>
      <c r="F133" t="s">
        <v>24</v>
      </c>
      <c r="G133" s="12">
        <v>0.5</v>
      </c>
      <c r="K133" s="12">
        <v>0</v>
      </c>
      <c r="L133" t="s">
        <v>20</v>
      </c>
      <c r="M133" s="2">
        <v>1031.7</v>
      </c>
      <c r="N133" s="2">
        <v>42.5</v>
      </c>
      <c r="P133" s="2">
        <v>410.9</v>
      </c>
      <c r="Q133" s="13">
        <f t="shared" si="3"/>
        <v>0.38251722211878603</v>
      </c>
      <c r="R133" s="14">
        <f t="shared" si="4"/>
        <v>1485.1</v>
      </c>
      <c r="S133" s="15">
        <f t="shared" si="5"/>
        <v>1752.4179999999999</v>
      </c>
    </row>
    <row r="134" spans="1:19" x14ac:dyDescent="0.3">
      <c r="A134">
        <v>200010076</v>
      </c>
      <c r="B134">
        <v>273715040</v>
      </c>
      <c r="C134" s="11">
        <v>46230</v>
      </c>
      <c r="D134" s="1">
        <v>874175464279</v>
      </c>
      <c r="E134">
        <v>42241</v>
      </c>
      <c r="F134" t="s">
        <v>24</v>
      </c>
      <c r="G134" s="12">
        <v>0.5</v>
      </c>
      <c r="K134" s="12">
        <v>0</v>
      </c>
      <c r="L134" t="s">
        <v>20</v>
      </c>
      <c r="M134" s="2">
        <v>1031.7</v>
      </c>
      <c r="N134" s="2">
        <v>42.5</v>
      </c>
      <c r="P134" s="2">
        <v>410.9</v>
      </c>
      <c r="Q134" s="13">
        <f t="shared" si="3"/>
        <v>0.38251722211878603</v>
      </c>
      <c r="R134" s="14">
        <f t="shared" si="4"/>
        <v>1485.1</v>
      </c>
      <c r="S134" s="15">
        <f t="shared" si="5"/>
        <v>1752.4179999999999</v>
      </c>
    </row>
    <row r="135" spans="1:19" x14ac:dyDescent="0.3">
      <c r="A135">
        <v>200010076</v>
      </c>
      <c r="B135">
        <v>273715040</v>
      </c>
      <c r="C135" s="11">
        <v>46230</v>
      </c>
      <c r="D135" s="1">
        <v>874175468572</v>
      </c>
      <c r="E135">
        <v>42479</v>
      </c>
      <c r="F135" t="s">
        <v>24</v>
      </c>
      <c r="G135" s="12">
        <v>0.5</v>
      </c>
      <c r="K135" s="12">
        <v>0</v>
      </c>
      <c r="L135" t="s">
        <v>20</v>
      </c>
      <c r="M135" s="2">
        <v>1031.7</v>
      </c>
      <c r="N135" s="2">
        <v>42.5</v>
      </c>
      <c r="P135" s="2">
        <v>410.9</v>
      </c>
      <c r="Q135" s="13">
        <f t="shared" si="3"/>
        <v>0.38251722211878603</v>
      </c>
      <c r="R135" s="14">
        <f t="shared" si="4"/>
        <v>1485.1</v>
      </c>
      <c r="S135" s="15">
        <f t="shared" si="5"/>
        <v>1752.4179999999999</v>
      </c>
    </row>
    <row r="136" spans="1:19" x14ac:dyDescent="0.3">
      <c r="A136">
        <v>200010076</v>
      </c>
      <c r="B136">
        <v>273715040</v>
      </c>
      <c r="C136" s="11">
        <v>46230</v>
      </c>
      <c r="D136" s="1">
        <v>874175472428</v>
      </c>
      <c r="E136">
        <v>40724</v>
      </c>
      <c r="F136" t="s">
        <v>24</v>
      </c>
      <c r="G136" s="12">
        <v>0.5</v>
      </c>
      <c r="K136" s="12">
        <v>0</v>
      </c>
      <c r="L136" t="s">
        <v>20</v>
      </c>
      <c r="M136" s="2">
        <v>1031.7</v>
      </c>
      <c r="N136" s="2">
        <v>42.5</v>
      </c>
      <c r="P136" s="2">
        <v>410.9</v>
      </c>
      <c r="Q136" s="13">
        <f t="shared" si="3"/>
        <v>0.38251722211878603</v>
      </c>
      <c r="R136" s="14">
        <f t="shared" si="4"/>
        <v>1485.1</v>
      </c>
      <c r="S136" s="15">
        <f t="shared" si="5"/>
        <v>1752.4179999999999</v>
      </c>
    </row>
    <row r="137" spans="1:19" x14ac:dyDescent="0.3">
      <c r="A137">
        <v>200010076</v>
      </c>
      <c r="B137">
        <v>273715040</v>
      </c>
      <c r="C137" s="11">
        <v>46230</v>
      </c>
      <c r="D137" s="1">
        <v>874175494710</v>
      </c>
      <c r="E137">
        <v>42369</v>
      </c>
      <c r="F137" t="s">
        <v>24</v>
      </c>
      <c r="G137" s="12">
        <v>0.5</v>
      </c>
      <c r="K137" s="12">
        <v>0</v>
      </c>
      <c r="L137" t="s">
        <v>20</v>
      </c>
      <c r="M137" s="2">
        <v>1031.7</v>
      </c>
      <c r="N137" s="2">
        <v>42.5</v>
      </c>
      <c r="P137" s="2">
        <v>410.9</v>
      </c>
      <c r="Q137" s="13">
        <f t="shared" ref="Q137:Q200" si="6">+P137/SUM(M137:O137)</f>
        <v>0.38251722211878603</v>
      </c>
      <c r="R137" s="14">
        <f t="shared" ref="R137:R200" si="7">SUM(M137:P137)</f>
        <v>1485.1</v>
      </c>
      <c r="S137" s="15">
        <f t="shared" ref="S137:S200" si="8">+R137*1.18</f>
        <v>1752.4179999999999</v>
      </c>
    </row>
    <row r="138" spans="1:19" x14ac:dyDescent="0.3">
      <c r="A138">
        <v>200010076</v>
      </c>
      <c r="B138">
        <v>273715040</v>
      </c>
      <c r="C138" s="11">
        <v>46230</v>
      </c>
      <c r="D138" s="1">
        <v>874175515310</v>
      </c>
      <c r="E138">
        <v>42386</v>
      </c>
      <c r="F138" t="s">
        <v>24</v>
      </c>
      <c r="G138" s="12">
        <v>0.5</v>
      </c>
      <c r="K138" s="12">
        <v>0</v>
      </c>
      <c r="L138" t="s">
        <v>20</v>
      </c>
      <c r="M138" s="2">
        <v>1031.7</v>
      </c>
      <c r="N138" s="2">
        <v>42.5</v>
      </c>
      <c r="P138" s="2">
        <v>410.9</v>
      </c>
      <c r="Q138" s="13">
        <f t="shared" si="6"/>
        <v>0.38251722211878603</v>
      </c>
      <c r="R138" s="14">
        <f t="shared" si="7"/>
        <v>1485.1</v>
      </c>
      <c r="S138" s="15">
        <f t="shared" si="8"/>
        <v>1752.4179999999999</v>
      </c>
    </row>
    <row r="139" spans="1:19" x14ac:dyDescent="0.3">
      <c r="A139">
        <v>200010076</v>
      </c>
      <c r="B139">
        <v>273715040</v>
      </c>
      <c r="C139" s="11">
        <v>46230</v>
      </c>
      <c r="D139" s="1">
        <v>874175521305</v>
      </c>
      <c r="E139">
        <v>42393</v>
      </c>
      <c r="F139" t="s">
        <v>24</v>
      </c>
      <c r="G139" s="12">
        <v>0.5</v>
      </c>
      <c r="K139" s="12">
        <v>0</v>
      </c>
      <c r="L139" t="s">
        <v>20</v>
      </c>
      <c r="M139" s="2">
        <v>1031.7</v>
      </c>
      <c r="N139" s="2">
        <v>42.5</v>
      </c>
      <c r="P139" s="2">
        <v>410.9</v>
      </c>
      <c r="Q139" s="13">
        <f t="shared" si="6"/>
        <v>0.38251722211878603</v>
      </c>
      <c r="R139" s="14">
        <f t="shared" si="7"/>
        <v>1485.1</v>
      </c>
      <c r="S139" s="15">
        <f t="shared" si="8"/>
        <v>1752.4179999999999</v>
      </c>
    </row>
    <row r="140" spans="1:19" x14ac:dyDescent="0.3">
      <c r="A140">
        <v>200010076</v>
      </c>
      <c r="B140">
        <v>273715040</v>
      </c>
      <c r="C140" s="11">
        <v>46230</v>
      </c>
      <c r="D140" s="1">
        <v>874175539958</v>
      </c>
      <c r="E140">
        <v>42469</v>
      </c>
      <c r="F140" t="s">
        <v>24</v>
      </c>
      <c r="G140" s="12">
        <v>0.5</v>
      </c>
      <c r="K140" s="12">
        <v>0</v>
      </c>
      <c r="L140" t="s">
        <v>20</v>
      </c>
      <c r="M140" s="2">
        <v>1031.7</v>
      </c>
      <c r="N140" s="2">
        <v>42.5</v>
      </c>
      <c r="P140" s="2">
        <v>410.9</v>
      </c>
      <c r="Q140" s="13">
        <f t="shared" si="6"/>
        <v>0.38251722211878603</v>
      </c>
      <c r="R140" s="14">
        <f t="shared" si="7"/>
        <v>1485.1</v>
      </c>
      <c r="S140" s="15">
        <f t="shared" si="8"/>
        <v>1752.4179999999999</v>
      </c>
    </row>
    <row r="141" spans="1:19" x14ac:dyDescent="0.3">
      <c r="A141">
        <v>200010076</v>
      </c>
      <c r="B141">
        <v>273715040</v>
      </c>
      <c r="C141" s="11">
        <v>46230</v>
      </c>
      <c r="D141" s="1">
        <v>874175543755</v>
      </c>
      <c r="E141">
        <v>42443</v>
      </c>
      <c r="F141" t="s">
        <v>24</v>
      </c>
      <c r="G141" s="12">
        <v>0.5</v>
      </c>
      <c r="K141" s="12">
        <v>0</v>
      </c>
      <c r="L141" t="s">
        <v>20</v>
      </c>
      <c r="M141" s="2">
        <v>1031.7</v>
      </c>
      <c r="N141" s="2">
        <v>42.5</v>
      </c>
      <c r="P141" s="2">
        <v>410.9</v>
      </c>
      <c r="Q141" s="13">
        <f t="shared" si="6"/>
        <v>0.38251722211878603</v>
      </c>
      <c r="R141" s="14">
        <f t="shared" si="7"/>
        <v>1485.1</v>
      </c>
      <c r="S141" s="15">
        <f t="shared" si="8"/>
        <v>1752.4179999999999</v>
      </c>
    </row>
    <row r="142" spans="1:19" x14ac:dyDescent="0.3">
      <c r="A142">
        <v>200010076</v>
      </c>
      <c r="B142">
        <v>273715040</v>
      </c>
      <c r="C142" s="11">
        <v>46230</v>
      </c>
      <c r="D142" s="1">
        <v>874175545817</v>
      </c>
      <c r="E142">
        <v>40566</v>
      </c>
      <c r="F142" t="s">
        <v>24</v>
      </c>
      <c r="G142" s="12">
        <v>0.77</v>
      </c>
      <c r="K142" s="12">
        <v>0</v>
      </c>
      <c r="L142" t="s">
        <v>20</v>
      </c>
      <c r="M142" s="2">
        <v>1146.7</v>
      </c>
      <c r="N142" s="2">
        <v>66</v>
      </c>
      <c r="P142" s="2">
        <v>463.9</v>
      </c>
      <c r="Q142" s="13">
        <f t="shared" si="6"/>
        <v>0.38253483961408424</v>
      </c>
      <c r="R142" s="14">
        <f t="shared" si="7"/>
        <v>1676.6</v>
      </c>
      <c r="S142" s="15">
        <f t="shared" si="8"/>
        <v>1978.3879999999997</v>
      </c>
    </row>
    <row r="143" spans="1:19" x14ac:dyDescent="0.3">
      <c r="A143">
        <v>200010076</v>
      </c>
      <c r="B143">
        <v>273715040</v>
      </c>
      <c r="C143" s="11">
        <v>46230</v>
      </c>
      <c r="D143" s="1">
        <v>874175578819</v>
      </c>
      <c r="E143">
        <v>42450</v>
      </c>
      <c r="F143" t="s">
        <v>24</v>
      </c>
      <c r="G143" s="12">
        <v>0.5</v>
      </c>
      <c r="K143" s="12">
        <v>0</v>
      </c>
      <c r="L143" t="s">
        <v>20</v>
      </c>
      <c r="M143" s="2">
        <v>1031.7</v>
      </c>
      <c r="N143" s="2">
        <v>42.5</v>
      </c>
      <c r="P143" s="2">
        <v>410.9</v>
      </c>
      <c r="Q143" s="13">
        <f t="shared" si="6"/>
        <v>0.38251722211878603</v>
      </c>
      <c r="R143" s="14">
        <f t="shared" si="7"/>
        <v>1485.1</v>
      </c>
      <c r="S143" s="15">
        <f t="shared" si="8"/>
        <v>1752.4179999999999</v>
      </c>
    </row>
    <row r="144" spans="1:19" x14ac:dyDescent="0.3">
      <c r="A144">
        <v>200010076</v>
      </c>
      <c r="B144">
        <v>273715040</v>
      </c>
      <c r="C144" s="11">
        <v>46230</v>
      </c>
      <c r="D144" s="1">
        <v>874175584490</v>
      </c>
      <c r="E144">
        <v>42410</v>
      </c>
      <c r="F144" t="s">
        <v>24</v>
      </c>
      <c r="G144" s="12">
        <v>0.5</v>
      </c>
      <c r="K144" s="12">
        <v>0</v>
      </c>
      <c r="L144" t="s">
        <v>20</v>
      </c>
      <c r="M144" s="2">
        <v>1031.7</v>
      </c>
      <c r="N144" s="2">
        <v>42.5</v>
      </c>
      <c r="P144" s="2">
        <v>410.9</v>
      </c>
      <c r="Q144" s="13">
        <f t="shared" si="6"/>
        <v>0.38251722211878603</v>
      </c>
      <c r="R144" s="14">
        <f t="shared" si="7"/>
        <v>1485.1</v>
      </c>
      <c r="S144" s="15">
        <f t="shared" si="8"/>
        <v>1752.4179999999999</v>
      </c>
    </row>
    <row r="145" spans="1:19" x14ac:dyDescent="0.3">
      <c r="A145">
        <v>200010076</v>
      </c>
      <c r="B145">
        <v>273715040</v>
      </c>
      <c r="C145" s="11">
        <v>46230</v>
      </c>
      <c r="D145" s="1">
        <v>874228640024</v>
      </c>
      <c r="E145">
        <v>40243</v>
      </c>
      <c r="F145" t="s">
        <v>25</v>
      </c>
      <c r="G145" s="12">
        <v>4</v>
      </c>
      <c r="H145">
        <v>45</v>
      </c>
      <c r="I145">
        <v>23</v>
      </c>
      <c r="J145">
        <v>21</v>
      </c>
      <c r="K145" s="12">
        <v>4</v>
      </c>
      <c r="L145" t="s">
        <v>20</v>
      </c>
      <c r="M145" s="2">
        <v>1966.1</v>
      </c>
      <c r="N145" s="2">
        <v>264</v>
      </c>
      <c r="P145" s="2">
        <v>853</v>
      </c>
      <c r="Q145" s="13">
        <f t="shared" si="6"/>
        <v>0.38249405856239632</v>
      </c>
      <c r="R145" s="14">
        <f t="shared" si="7"/>
        <v>3083.1</v>
      </c>
      <c r="S145" s="15">
        <f t="shared" si="8"/>
        <v>3638.0579999999995</v>
      </c>
    </row>
    <row r="146" spans="1:19" x14ac:dyDescent="0.3">
      <c r="A146">
        <v>200010076</v>
      </c>
      <c r="B146">
        <v>273715040</v>
      </c>
      <c r="C146" s="11">
        <v>46230</v>
      </c>
      <c r="D146" s="1">
        <v>874228646309</v>
      </c>
      <c r="E146">
        <v>4101683091</v>
      </c>
      <c r="F146" t="s">
        <v>25</v>
      </c>
      <c r="G146" s="12">
        <v>10</v>
      </c>
      <c r="H146">
        <v>58</v>
      </c>
      <c r="I146">
        <v>33</v>
      </c>
      <c r="J146">
        <v>30</v>
      </c>
      <c r="K146" s="12">
        <v>10</v>
      </c>
      <c r="L146" t="s">
        <v>20</v>
      </c>
      <c r="M146" s="2">
        <v>3529.5</v>
      </c>
      <c r="N146" s="2">
        <v>660</v>
      </c>
      <c r="P146" s="2">
        <v>1602.5</v>
      </c>
      <c r="Q146" s="13">
        <f t="shared" si="6"/>
        <v>0.38250387874448027</v>
      </c>
      <c r="R146" s="14">
        <f t="shared" si="7"/>
        <v>5792</v>
      </c>
      <c r="S146" s="15">
        <f t="shared" si="8"/>
        <v>6834.5599999999995</v>
      </c>
    </row>
    <row r="147" spans="1:19" x14ac:dyDescent="0.3">
      <c r="A147">
        <v>200010076</v>
      </c>
      <c r="B147">
        <v>273715040</v>
      </c>
      <c r="C147" s="11">
        <v>46230</v>
      </c>
      <c r="D147" s="1">
        <v>874228649591</v>
      </c>
      <c r="E147">
        <v>39729</v>
      </c>
      <c r="F147" t="s">
        <v>25</v>
      </c>
      <c r="G147" s="12">
        <v>4.5</v>
      </c>
      <c r="H147">
        <v>45</v>
      </c>
      <c r="I147">
        <v>24</v>
      </c>
      <c r="J147">
        <v>24</v>
      </c>
      <c r="K147" s="12">
        <v>4.5</v>
      </c>
      <c r="L147" t="s">
        <v>20</v>
      </c>
      <c r="M147" s="2">
        <v>2098.9</v>
      </c>
      <c r="N147" s="2">
        <v>297</v>
      </c>
      <c r="P147" s="2">
        <v>916.4</v>
      </c>
      <c r="Q147" s="13">
        <f t="shared" si="6"/>
        <v>0.3824867481948328</v>
      </c>
      <c r="R147" s="14">
        <f t="shared" si="7"/>
        <v>3312.3</v>
      </c>
      <c r="S147" s="15">
        <f t="shared" si="8"/>
        <v>3908.5140000000001</v>
      </c>
    </row>
    <row r="148" spans="1:19" x14ac:dyDescent="0.3">
      <c r="A148">
        <v>200010076</v>
      </c>
      <c r="B148">
        <v>273715040</v>
      </c>
      <c r="C148" s="11">
        <v>46230</v>
      </c>
      <c r="D148" s="1">
        <v>874228658622</v>
      </c>
      <c r="E148">
        <v>42084</v>
      </c>
      <c r="F148" t="s">
        <v>25</v>
      </c>
      <c r="G148" s="12">
        <v>5</v>
      </c>
      <c r="H148">
        <v>56</v>
      </c>
      <c r="I148">
        <v>23</v>
      </c>
      <c r="J148">
        <v>21</v>
      </c>
      <c r="K148" s="12">
        <v>5</v>
      </c>
      <c r="L148" t="s">
        <v>20</v>
      </c>
      <c r="M148" s="2">
        <v>2231.6999999999998</v>
      </c>
      <c r="N148" s="2">
        <v>330</v>
      </c>
      <c r="P148" s="2">
        <v>979.9</v>
      </c>
      <c r="Q148" s="13">
        <f t="shared" si="6"/>
        <v>0.3825194206971933</v>
      </c>
      <c r="R148" s="14">
        <f t="shared" si="7"/>
        <v>3541.6</v>
      </c>
      <c r="S148" s="15">
        <f t="shared" si="8"/>
        <v>4179.0879999999997</v>
      </c>
    </row>
    <row r="149" spans="1:19" x14ac:dyDescent="0.3">
      <c r="A149">
        <v>200010076</v>
      </c>
      <c r="B149">
        <v>273715040</v>
      </c>
      <c r="C149" s="11">
        <v>46230</v>
      </c>
      <c r="D149" s="1">
        <v>874228670807</v>
      </c>
      <c r="E149">
        <v>41874</v>
      </c>
      <c r="F149" t="s">
        <v>25</v>
      </c>
      <c r="G149" s="12">
        <v>4</v>
      </c>
      <c r="H149">
        <v>56</v>
      </c>
      <c r="I149">
        <v>21</v>
      </c>
      <c r="J149">
        <v>20</v>
      </c>
      <c r="K149" s="12">
        <v>4</v>
      </c>
      <c r="L149" t="s">
        <v>20</v>
      </c>
      <c r="M149" s="2">
        <v>1966.1</v>
      </c>
      <c r="N149" s="2">
        <v>264</v>
      </c>
      <c r="P149" s="2">
        <v>853</v>
      </c>
      <c r="Q149" s="13">
        <f t="shared" si="6"/>
        <v>0.38249405856239632</v>
      </c>
      <c r="R149" s="14">
        <f t="shared" si="7"/>
        <v>3083.1</v>
      </c>
      <c r="S149" s="15">
        <f t="shared" si="8"/>
        <v>3638.0579999999995</v>
      </c>
    </row>
    <row r="150" spans="1:19" x14ac:dyDescent="0.3">
      <c r="A150">
        <v>200010076</v>
      </c>
      <c r="B150">
        <v>273715040</v>
      </c>
      <c r="C150" s="11">
        <v>46230</v>
      </c>
      <c r="D150" s="1">
        <v>874228673438</v>
      </c>
      <c r="E150">
        <v>40354</v>
      </c>
      <c r="F150" t="s">
        <v>25</v>
      </c>
      <c r="G150" s="12">
        <v>5</v>
      </c>
      <c r="H150">
        <v>59</v>
      </c>
      <c r="I150">
        <v>23</v>
      </c>
      <c r="J150">
        <v>21</v>
      </c>
      <c r="K150" s="12">
        <v>5</v>
      </c>
      <c r="L150" t="s">
        <v>20</v>
      </c>
      <c r="M150" s="2">
        <v>2231.6999999999998</v>
      </c>
      <c r="N150" s="2">
        <v>330</v>
      </c>
      <c r="P150" s="2">
        <v>979.9</v>
      </c>
      <c r="Q150" s="13">
        <f t="shared" si="6"/>
        <v>0.3825194206971933</v>
      </c>
      <c r="R150" s="14">
        <f t="shared" si="7"/>
        <v>3541.6</v>
      </c>
      <c r="S150" s="15">
        <f t="shared" si="8"/>
        <v>4179.0879999999997</v>
      </c>
    </row>
    <row r="151" spans="1:19" x14ac:dyDescent="0.3">
      <c r="A151">
        <v>200010076</v>
      </c>
      <c r="B151">
        <v>273715040</v>
      </c>
      <c r="C151" s="11">
        <v>46230</v>
      </c>
      <c r="D151" s="1">
        <v>874228676816</v>
      </c>
      <c r="E151">
        <v>39386</v>
      </c>
      <c r="F151" t="s">
        <v>25</v>
      </c>
      <c r="G151" s="12">
        <v>3</v>
      </c>
      <c r="H151">
        <v>82</v>
      </c>
      <c r="I151">
        <v>15</v>
      </c>
      <c r="J151">
        <v>14</v>
      </c>
      <c r="K151" s="12">
        <v>3</v>
      </c>
      <c r="L151" t="s">
        <v>20</v>
      </c>
      <c r="M151" s="2">
        <v>1700.6</v>
      </c>
      <c r="N151" s="2">
        <v>198</v>
      </c>
      <c r="P151" s="2">
        <v>726.2</v>
      </c>
      <c r="Q151" s="13">
        <f t="shared" si="6"/>
        <v>0.38249236279363746</v>
      </c>
      <c r="R151" s="14">
        <f t="shared" si="7"/>
        <v>2624.8</v>
      </c>
      <c r="S151" s="15">
        <f t="shared" si="8"/>
        <v>3097.2640000000001</v>
      </c>
    </row>
    <row r="152" spans="1:19" x14ac:dyDescent="0.3">
      <c r="A152">
        <v>200010076</v>
      </c>
      <c r="B152">
        <v>273715040</v>
      </c>
      <c r="C152" s="11">
        <v>46230</v>
      </c>
      <c r="D152" s="1">
        <v>874228679355</v>
      </c>
      <c r="E152">
        <v>41974</v>
      </c>
      <c r="F152" t="s">
        <v>25</v>
      </c>
      <c r="G152" s="12">
        <v>2.54</v>
      </c>
      <c r="H152">
        <v>61</v>
      </c>
      <c r="I152">
        <v>20</v>
      </c>
      <c r="J152">
        <v>18</v>
      </c>
      <c r="K152" s="12">
        <v>3.7</v>
      </c>
      <c r="L152" t="s">
        <v>20</v>
      </c>
      <c r="M152" s="2">
        <v>1966.1</v>
      </c>
      <c r="N152" s="2">
        <v>264</v>
      </c>
      <c r="P152" s="2">
        <v>853</v>
      </c>
      <c r="Q152" s="13">
        <f t="shared" si="6"/>
        <v>0.38249405856239632</v>
      </c>
      <c r="R152" s="14">
        <f t="shared" si="7"/>
        <v>3083.1</v>
      </c>
      <c r="S152" s="15">
        <f t="shared" si="8"/>
        <v>3638.0579999999995</v>
      </c>
    </row>
    <row r="153" spans="1:19" x14ac:dyDescent="0.3">
      <c r="A153">
        <v>200010076</v>
      </c>
      <c r="B153">
        <v>273715040</v>
      </c>
      <c r="C153" s="11">
        <v>46230</v>
      </c>
      <c r="D153" s="1">
        <v>874228685431</v>
      </c>
      <c r="E153">
        <v>41727</v>
      </c>
      <c r="F153" t="s">
        <v>25</v>
      </c>
      <c r="G153" s="12">
        <v>4</v>
      </c>
      <c r="H153">
        <v>56</v>
      </c>
      <c r="I153">
        <v>21</v>
      </c>
      <c r="J153">
        <v>20</v>
      </c>
      <c r="K153" s="12">
        <v>4</v>
      </c>
      <c r="L153" t="s">
        <v>20</v>
      </c>
      <c r="M153" s="2">
        <v>1966.1</v>
      </c>
      <c r="N153" s="2">
        <v>264</v>
      </c>
      <c r="P153" s="2">
        <v>853</v>
      </c>
      <c r="Q153" s="13">
        <f t="shared" si="6"/>
        <v>0.38249405856239632</v>
      </c>
      <c r="R153" s="14">
        <f t="shared" si="7"/>
        <v>3083.1</v>
      </c>
      <c r="S153" s="15">
        <f t="shared" si="8"/>
        <v>3638.0579999999995</v>
      </c>
    </row>
    <row r="154" spans="1:19" x14ac:dyDescent="0.3">
      <c r="A154">
        <v>200010076</v>
      </c>
      <c r="B154">
        <v>273715040</v>
      </c>
      <c r="C154" s="11">
        <v>46230</v>
      </c>
      <c r="D154" s="1">
        <v>874228686839</v>
      </c>
      <c r="E154">
        <v>39519</v>
      </c>
      <c r="F154" t="s">
        <v>25</v>
      </c>
      <c r="G154" s="12">
        <v>4.5</v>
      </c>
      <c r="H154">
        <v>52</v>
      </c>
      <c r="I154">
        <v>22</v>
      </c>
      <c r="J154">
        <v>22</v>
      </c>
      <c r="K154" s="12">
        <v>4.5</v>
      </c>
      <c r="L154" t="s">
        <v>20</v>
      </c>
      <c r="M154" s="2">
        <v>2098.9</v>
      </c>
      <c r="N154" s="2">
        <v>297</v>
      </c>
      <c r="P154" s="2">
        <v>916.4</v>
      </c>
      <c r="Q154" s="13">
        <f t="shared" si="6"/>
        <v>0.3824867481948328</v>
      </c>
      <c r="R154" s="14">
        <f t="shared" si="7"/>
        <v>3312.3</v>
      </c>
      <c r="S154" s="15">
        <f t="shared" si="8"/>
        <v>3908.5140000000001</v>
      </c>
    </row>
    <row r="155" spans="1:19" x14ac:dyDescent="0.3">
      <c r="A155">
        <v>200010076</v>
      </c>
      <c r="B155">
        <v>273715040</v>
      </c>
      <c r="C155" s="11">
        <v>46230</v>
      </c>
      <c r="D155" s="1">
        <v>874228694285</v>
      </c>
      <c r="E155">
        <v>42126</v>
      </c>
      <c r="F155" t="s">
        <v>25</v>
      </c>
      <c r="G155" s="12">
        <v>6</v>
      </c>
      <c r="H155">
        <v>57</v>
      </c>
      <c r="I155">
        <v>26</v>
      </c>
      <c r="J155">
        <v>24</v>
      </c>
      <c r="K155" s="12">
        <v>6</v>
      </c>
      <c r="L155" t="s">
        <v>20</v>
      </c>
      <c r="M155" s="2">
        <v>2609.1</v>
      </c>
      <c r="N155" s="2">
        <v>396</v>
      </c>
      <c r="P155" s="2">
        <v>1149.5</v>
      </c>
      <c r="Q155" s="13">
        <f t="shared" si="6"/>
        <v>0.38251638880569699</v>
      </c>
      <c r="R155" s="14">
        <f t="shared" si="7"/>
        <v>4154.6000000000004</v>
      </c>
      <c r="S155" s="15">
        <f t="shared" si="8"/>
        <v>4902.4279999999999</v>
      </c>
    </row>
    <row r="156" spans="1:19" x14ac:dyDescent="0.3">
      <c r="A156">
        <v>200010076</v>
      </c>
      <c r="B156">
        <v>273715040</v>
      </c>
      <c r="C156" s="11">
        <v>46230</v>
      </c>
      <c r="D156" s="1">
        <v>874228701604</v>
      </c>
      <c r="E156">
        <v>39749</v>
      </c>
      <c r="F156" t="s">
        <v>25</v>
      </c>
      <c r="G156" s="12">
        <v>6</v>
      </c>
      <c r="H156">
        <v>61</v>
      </c>
      <c r="I156">
        <v>24</v>
      </c>
      <c r="J156">
        <v>24</v>
      </c>
      <c r="K156" s="12">
        <v>6</v>
      </c>
      <c r="L156" t="s">
        <v>20</v>
      </c>
      <c r="M156" s="2">
        <v>2609.1</v>
      </c>
      <c r="N156" s="2">
        <v>396</v>
      </c>
      <c r="P156" s="2">
        <v>1149.5</v>
      </c>
      <c r="Q156" s="13">
        <f t="shared" si="6"/>
        <v>0.38251638880569699</v>
      </c>
      <c r="R156" s="14">
        <f t="shared" si="7"/>
        <v>4154.6000000000004</v>
      </c>
      <c r="S156" s="15">
        <f t="shared" si="8"/>
        <v>4902.4279999999999</v>
      </c>
    </row>
    <row r="157" spans="1:19" x14ac:dyDescent="0.3">
      <c r="A157">
        <v>200010076</v>
      </c>
      <c r="B157">
        <v>273715040</v>
      </c>
      <c r="C157" s="11">
        <v>46230</v>
      </c>
      <c r="D157" s="1">
        <v>874228703228</v>
      </c>
      <c r="E157">
        <v>39299</v>
      </c>
      <c r="F157" t="s">
        <v>25</v>
      </c>
      <c r="G157" s="12">
        <v>4.5</v>
      </c>
      <c r="H157">
        <v>45</v>
      </c>
      <c r="I157">
        <v>24</v>
      </c>
      <c r="J157">
        <v>23</v>
      </c>
      <c r="K157" s="12">
        <v>4.5</v>
      </c>
      <c r="L157" t="s">
        <v>20</v>
      </c>
      <c r="M157" s="2">
        <v>2098.9</v>
      </c>
      <c r="N157" s="2">
        <v>297</v>
      </c>
      <c r="P157" s="2">
        <v>916.4</v>
      </c>
      <c r="Q157" s="13">
        <f t="shared" si="6"/>
        <v>0.3824867481948328</v>
      </c>
      <c r="R157" s="14">
        <f t="shared" si="7"/>
        <v>3312.3</v>
      </c>
      <c r="S157" s="15">
        <f t="shared" si="8"/>
        <v>3908.5140000000001</v>
      </c>
    </row>
    <row r="158" spans="1:19" x14ac:dyDescent="0.3">
      <c r="A158">
        <v>200010076</v>
      </c>
      <c r="B158">
        <v>273715040</v>
      </c>
      <c r="C158" s="11">
        <v>46230</v>
      </c>
      <c r="D158" s="1">
        <v>874228706098</v>
      </c>
      <c r="E158">
        <v>39813</v>
      </c>
      <c r="F158" t="s">
        <v>25</v>
      </c>
      <c r="G158" s="12">
        <v>1.5</v>
      </c>
      <c r="H158">
        <v>22</v>
      </c>
      <c r="I158">
        <v>18</v>
      </c>
      <c r="J158">
        <v>17</v>
      </c>
      <c r="K158" s="12">
        <v>1.5</v>
      </c>
      <c r="L158" t="s">
        <v>20</v>
      </c>
      <c r="M158" s="2">
        <v>1353.7</v>
      </c>
      <c r="N158" s="2">
        <v>99</v>
      </c>
      <c r="P158" s="2">
        <v>555.70000000000005</v>
      </c>
      <c r="Q158" s="13">
        <f t="shared" si="6"/>
        <v>0.38252908377503958</v>
      </c>
      <c r="R158" s="14">
        <f t="shared" si="7"/>
        <v>2008.4</v>
      </c>
      <c r="S158" s="15">
        <f t="shared" si="8"/>
        <v>2369.9119999999998</v>
      </c>
    </row>
    <row r="159" spans="1:19" x14ac:dyDescent="0.3">
      <c r="A159">
        <v>200010076</v>
      </c>
      <c r="B159">
        <v>273715040</v>
      </c>
      <c r="C159" s="11">
        <v>46230</v>
      </c>
      <c r="D159" s="1">
        <v>874228712597</v>
      </c>
      <c r="E159">
        <v>40962</v>
      </c>
      <c r="F159" t="s">
        <v>25</v>
      </c>
      <c r="G159" s="12">
        <v>5.5</v>
      </c>
      <c r="H159">
        <v>50</v>
      </c>
      <c r="I159">
        <v>25</v>
      </c>
      <c r="J159">
        <v>24</v>
      </c>
      <c r="K159" s="12">
        <v>5.5</v>
      </c>
      <c r="L159" t="s">
        <v>20</v>
      </c>
      <c r="M159" s="2">
        <v>2494</v>
      </c>
      <c r="N159" s="2">
        <v>363</v>
      </c>
      <c r="P159" s="2">
        <v>1092.8</v>
      </c>
      <c r="Q159" s="13">
        <f t="shared" si="6"/>
        <v>0.38249912495624777</v>
      </c>
      <c r="R159" s="14">
        <f t="shared" si="7"/>
        <v>3949.8</v>
      </c>
      <c r="S159" s="15">
        <f t="shared" si="8"/>
        <v>4660.7640000000001</v>
      </c>
    </row>
    <row r="160" spans="1:19" x14ac:dyDescent="0.3">
      <c r="A160">
        <v>200010076</v>
      </c>
      <c r="B160">
        <v>273715040</v>
      </c>
      <c r="C160" s="11">
        <v>46230</v>
      </c>
      <c r="D160" s="1">
        <v>874228722896</v>
      </c>
      <c r="E160">
        <v>4087552986</v>
      </c>
      <c r="F160" t="s">
        <v>25</v>
      </c>
      <c r="G160" s="12">
        <v>6</v>
      </c>
      <c r="H160">
        <v>56</v>
      </c>
      <c r="I160">
        <v>24</v>
      </c>
      <c r="J160">
        <v>24</v>
      </c>
      <c r="K160" s="12">
        <v>6</v>
      </c>
      <c r="L160" t="s">
        <v>20</v>
      </c>
      <c r="M160" s="2">
        <v>2609.1</v>
      </c>
      <c r="N160" s="2">
        <v>396</v>
      </c>
      <c r="P160" s="2">
        <v>1149.5</v>
      </c>
      <c r="Q160" s="13">
        <f t="shared" si="6"/>
        <v>0.38251638880569699</v>
      </c>
      <c r="R160" s="14">
        <f t="shared" si="7"/>
        <v>4154.6000000000004</v>
      </c>
      <c r="S160" s="15">
        <f t="shared" si="8"/>
        <v>4902.4279999999999</v>
      </c>
    </row>
    <row r="161" spans="1:19" x14ac:dyDescent="0.3">
      <c r="A161">
        <v>200010076</v>
      </c>
      <c r="B161">
        <v>273715040</v>
      </c>
      <c r="C161" s="11">
        <v>46230</v>
      </c>
      <c r="D161" s="1">
        <v>874228723561</v>
      </c>
      <c r="E161">
        <v>40866</v>
      </c>
      <c r="F161" t="s">
        <v>25</v>
      </c>
      <c r="G161" s="12">
        <v>13</v>
      </c>
      <c r="H161">
        <v>67</v>
      </c>
      <c r="I161">
        <v>33</v>
      </c>
      <c r="J161">
        <v>33</v>
      </c>
      <c r="K161" s="12">
        <v>13</v>
      </c>
      <c r="L161" t="s">
        <v>20</v>
      </c>
      <c r="M161" s="2">
        <v>5428.5</v>
      </c>
      <c r="N161" s="2">
        <v>858</v>
      </c>
      <c r="P161" s="2">
        <v>2404.6</v>
      </c>
      <c r="Q161" s="13">
        <f t="shared" si="6"/>
        <v>0.38250218722659668</v>
      </c>
      <c r="R161" s="14">
        <f t="shared" si="7"/>
        <v>8691.1</v>
      </c>
      <c r="S161" s="15">
        <f t="shared" si="8"/>
        <v>10255.498</v>
      </c>
    </row>
    <row r="162" spans="1:19" x14ac:dyDescent="0.3">
      <c r="A162">
        <v>200010076</v>
      </c>
      <c r="B162">
        <v>273715040</v>
      </c>
      <c r="C162" s="11">
        <v>46230</v>
      </c>
      <c r="D162" s="1">
        <v>874228723860</v>
      </c>
      <c r="E162">
        <v>41526</v>
      </c>
      <c r="F162" t="s">
        <v>25</v>
      </c>
      <c r="G162" s="12">
        <v>2</v>
      </c>
      <c r="H162">
        <v>57</v>
      </c>
      <c r="I162">
        <v>15</v>
      </c>
      <c r="J162">
        <v>11</v>
      </c>
      <c r="K162" s="12">
        <v>2</v>
      </c>
      <c r="L162" t="s">
        <v>20</v>
      </c>
      <c r="M162" s="2">
        <v>1512.5</v>
      </c>
      <c r="N162" s="2">
        <v>132</v>
      </c>
      <c r="P162" s="2">
        <v>629</v>
      </c>
      <c r="Q162" s="13">
        <f t="shared" si="6"/>
        <v>0.38248707813925203</v>
      </c>
      <c r="R162" s="14">
        <f t="shared" si="7"/>
        <v>2273.5</v>
      </c>
      <c r="S162" s="15">
        <f t="shared" si="8"/>
        <v>2682.73</v>
      </c>
    </row>
    <row r="163" spans="1:19" x14ac:dyDescent="0.3">
      <c r="A163">
        <v>200010076</v>
      </c>
      <c r="B163">
        <v>273715040</v>
      </c>
      <c r="C163" s="11">
        <v>46230</v>
      </c>
      <c r="D163" s="1">
        <v>874228735874</v>
      </c>
      <c r="E163">
        <v>40434</v>
      </c>
      <c r="F163" t="s">
        <v>25</v>
      </c>
      <c r="G163" s="12">
        <v>3</v>
      </c>
      <c r="H163">
        <v>75</v>
      </c>
      <c r="I163">
        <v>17</v>
      </c>
      <c r="J163">
        <v>14</v>
      </c>
      <c r="K163" s="12">
        <v>3</v>
      </c>
      <c r="L163" t="s">
        <v>20</v>
      </c>
      <c r="M163" s="2">
        <v>1700.6</v>
      </c>
      <c r="N163" s="2">
        <v>198</v>
      </c>
      <c r="P163" s="2">
        <v>726.2</v>
      </c>
      <c r="Q163" s="13">
        <f t="shared" si="6"/>
        <v>0.38249236279363746</v>
      </c>
      <c r="R163" s="14">
        <f t="shared" si="7"/>
        <v>2624.8</v>
      </c>
      <c r="S163" s="15">
        <f t="shared" si="8"/>
        <v>3097.2640000000001</v>
      </c>
    </row>
    <row r="164" spans="1:19" x14ac:dyDescent="0.3">
      <c r="A164">
        <v>200010076</v>
      </c>
      <c r="B164">
        <v>273715040</v>
      </c>
      <c r="C164" s="11">
        <v>46230</v>
      </c>
      <c r="D164" s="1">
        <v>874228746930</v>
      </c>
      <c r="E164">
        <v>40528</v>
      </c>
      <c r="F164" t="s">
        <v>25</v>
      </c>
      <c r="G164" s="12">
        <v>6</v>
      </c>
      <c r="H164">
        <v>60</v>
      </c>
      <c r="I164">
        <v>24</v>
      </c>
      <c r="J164">
        <v>23</v>
      </c>
      <c r="K164" s="12">
        <v>6</v>
      </c>
      <c r="L164" t="s">
        <v>20</v>
      </c>
      <c r="M164" s="2">
        <v>2609.1</v>
      </c>
      <c r="N164" s="2">
        <v>396</v>
      </c>
      <c r="P164" s="2">
        <v>1149.5</v>
      </c>
      <c r="Q164" s="13">
        <f t="shared" si="6"/>
        <v>0.38251638880569699</v>
      </c>
      <c r="R164" s="14">
        <f t="shared" si="7"/>
        <v>4154.6000000000004</v>
      </c>
      <c r="S164" s="15">
        <f t="shared" si="8"/>
        <v>4902.4279999999999</v>
      </c>
    </row>
    <row r="165" spans="1:19" x14ac:dyDescent="0.3">
      <c r="A165">
        <v>200010076</v>
      </c>
      <c r="B165">
        <v>273715040</v>
      </c>
      <c r="C165" s="11">
        <v>46230</v>
      </c>
      <c r="D165" s="1">
        <v>874228746941</v>
      </c>
      <c r="E165">
        <v>39591</v>
      </c>
      <c r="F165" t="s">
        <v>25</v>
      </c>
      <c r="G165" s="12">
        <v>9</v>
      </c>
      <c r="H165">
        <v>68</v>
      </c>
      <c r="I165">
        <v>28</v>
      </c>
      <c r="J165">
        <v>26</v>
      </c>
      <c r="K165" s="12">
        <v>9</v>
      </c>
      <c r="L165" t="s">
        <v>20</v>
      </c>
      <c r="M165" s="2">
        <v>3299.4</v>
      </c>
      <c r="N165" s="2">
        <v>594</v>
      </c>
      <c r="P165" s="2">
        <v>1489.2</v>
      </c>
      <c r="Q165" s="13">
        <f t="shared" si="6"/>
        <v>0.38249345045461552</v>
      </c>
      <c r="R165" s="14">
        <f t="shared" si="7"/>
        <v>5382.6</v>
      </c>
      <c r="S165" s="15">
        <f t="shared" si="8"/>
        <v>6351.4679999999998</v>
      </c>
    </row>
    <row r="166" spans="1:19" x14ac:dyDescent="0.3">
      <c r="A166">
        <v>200010076</v>
      </c>
      <c r="B166">
        <v>273715040</v>
      </c>
      <c r="C166" s="11">
        <v>46230</v>
      </c>
      <c r="D166" s="1">
        <v>874228750760</v>
      </c>
      <c r="E166">
        <v>41921</v>
      </c>
      <c r="F166" t="s">
        <v>25</v>
      </c>
      <c r="G166" s="12">
        <v>2.5</v>
      </c>
      <c r="H166">
        <v>53</v>
      </c>
      <c r="I166">
        <v>19</v>
      </c>
      <c r="J166">
        <v>13</v>
      </c>
      <c r="K166" s="12">
        <v>2.5</v>
      </c>
      <c r="L166" t="s">
        <v>20</v>
      </c>
      <c r="M166" s="2">
        <v>1671.3</v>
      </c>
      <c r="N166" s="2">
        <v>165</v>
      </c>
      <c r="P166" s="2">
        <v>702.4</v>
      </c>
      <c r="Q166" s="13">
        <f t="shared" si="6"/>
        <v>0.38250830474323366</v>
      </c>
      <c r="R166" s="14">
        <f t="shared" si="7"/>
        <v>2538.6999999999998</v>
      </c>
      <c r="S166" s="15">
        <f t="shared" si="8"/>
        <v>2995.6659999999997</v>
      </c>
    </row>
    <row r="167" spans="1:19" x14ac:dyDescent="0.3">
      <c r="A167">
        <v>200010076</v>
      </c>
      <c r="B167">
        <v>273715040</v>
      </c>
      <c r="C167" s="11">
        <v>46230</v>
      </c>
      <c r="D167" s="1">
        <v>874228755730</v>
      </c>
      <c r="E167">
        <v>41699</v>
      </c>
      <c r="F167" t="s">
        <v>25</v>
      </c>
      <c r="G167" s="12">
        <v>6</v>
      </c>
      <c r="H167">
        <v>51</v>
      </c>
      <c r="I167">
        <v>24</v>
      </c>
      <c r="J167">
        <v>24</v>
      </c>
      <c r="K167" s="12">
        <v>6</v>
      </c>
      <c r="L167" t="s">
        <v>20</v>
      </c>
      <c r="M167" s="2">
        <v>2609.1</v>
      </c>
      <c r="N167" s="2">
        <v>396</v>
      </c>
      <c r="P167" s="2">
        <v>1149.5</v>
      </c>
      <c r="Q167" s="13">
        <f t="shared" si="6"/>
        <v>0.38251638880569699</v>
      </c>
      <c r="R167" s="14">
        <f t="shared" si="7"/>
        <v>4154.6000000000004</v>
      </c>
      <c r="S167" s="15">
        <f t="shared" si="8"/>
        <v>4902.4279999999999</v>
      </c>
    </row>
    <row r="168" spans="1:19" x14ac:dyDescent="0.3">
      <c r="A168">
        <v>200010076</v>
      </c>
      <c r="B168">
        <v>273715040</v>
      </c>
      <c r="C168" s="11">
        <v>46230</v>
      </c>
      <c r="D168" s="1">
        <v>874228756769</v>
      </c>
      <c r="E168">
        <v>42175</v>
      </c>
      <c r="F168" t="s">
        <v>25</v>
      </c>
      <c r="G168" s="12">
        <v>2</v>
      </c>
      <c r="H168">
        <v>43</v>
      </c>
      <c r="I168">
        <v>20</v>
      </c>
      <c r="J168">
        <v>18</v>
      </c>
      <c r="K168" s="12">
        <v>2.6</v>
      </c>
      <c r="L168" t="s">
        <v>20</v>
      </c>
      <c r="M168" s="2">
        <v>1700.6</v>
      </c>
      <c r="N168" s="2">
        <v>198</v>
      </c>
      <c r="P168" s="2">
        <v>726.2</v>
      </c>
      <c r="Q168" s="13">
        <f t="shared" si="6"/>
        <v>0.38249236279363746</v>
      </c>
      <c r="R168" s="14">
        <f t="shared" si="7"/>
        <v>2624.8</v>
      </c>
      <c r="S168" s="15">
        <f t="shared" si="8"/>
        <v>3097.2640000000001</v>
      </c>
    </row>
    <row r="169" spans="1:19" x14ac:dyDescent="0.3">
      <c r="A169">
        <v>200010076</v>
      </c>
      <c r="B169">
        <v>273715040</v>
      </c>
      <c r="C169" s="11">
        <v>46230</v>
      </c>
      <c r="D169" s="1">
        <v>874228761816</v>
      </c>
      <c r="E169">
        <v>41244</v>
      </c>
      <c r="F169" t="s">
        <v>25</v>
      </c>
      <c r="G169" s="12">
        <v>4.5</v>
      </c>
      <c r="H169">
        <v>58</v>
      </c>
      <c r="I169">
        <v>21</v>
      </c>
      <c r="J169">
        <v>21</v>
      </c>
      <c r="K169" s="12">
        <v>4.5</v>
      </c>
      <c r="L169" t="s">
        <v>20</v>
      </c>
      <c r="M169" s="2">
        <v>2098.9</v>
      </c>
      <c r="N169" s="2">
        <v>297</v>
      </c>
      <c r="P169" s="2">
        <v>916.4</v>
      </c>
      <c r="Q169" s="13">
        <f t="shared" si="6"/>
        <v>0.3824867481948328</v>
      </c>
      <c r="R169" s="14">
        <f t="shared" si="7"/>
        <v>3312.3</v>
      </c>
      <c r="S169" s="15">
        <f t="shared" si="8"/>
        <v>3908.5140000000001</v>
      </c>
    </row>
    <row r="170" spans="1:19" x14ac:dyDescent="0.3">
      <c r="A170">
        <v>200010076</v>
      </c>
      <c r="B170">
        <v>273715040</v>
      </c>
      <c r="C170" s="11">
        <v>46230</v>
      </c>
      <c r="D170" s="1">
        <v>874228766417</v>
      </c>
      <c r="E170">
        <v>40111</v>
      </c>
      <c r="F170" t="s">
        <v>25</v>
      </c>
      <c r="G170" s="12">
        <v>3</v>
      </c>
      <c r="H170">
        <v>32</v>
      </c>
      <c r="I170">
        <v>24</v>
      </c>
      <c r="J170">
        <v>22</v>
      </c>
      <c r="K170" s="12">
        <v>3</v>
      </c>
      <c r="L170" t="s">
        <v>20</v>
      </c>
      <c r="M170" s="2">
        <v>1700.6</v>
      </c>
      <c r="N170" s="2">
        <v>198</v>
      </c>
      <c r="P170" s="2">
        <v>726.2</v>
      </c>
      <c r="Q170" s="13">
        <f t="shared" si="6"/>
        <v>0.38249236279363746</v>
      </c>
      <c r="R170" s="14">
        <f t="shared" si="7"/>
        <v>2624.8</v>
      </c>
      <c r="S170" s="15">
        <f t="shared" si="8"/>
        <v>3097.2640000000001</v>
      </c>
    </row>
    <row r="171" spans="1:19" x14ac:dyDescent="0.3">
      <c r="A171">
        <v>200010076</v>
      </c>
      <c r="B171">
        <v>273715040</v>
      </c>
      <c r="C171" s="11">
        <v>46230</v>
      </c>
      <c r="D171" s="1">
        <v>874228766965</v>
      </c>
      <c r="E171">
        <v>40929</v>
      </c>
      <c r="F171" t="s">
        <v>25</v>
      </c>
      <c r="G171" s="12">
        <v>7</v>
      </c>
      <c r="H171">
        <v>67</v>
      </c>
      <c r="I171">
        <v>25</v>
      </c>
      <c r="J171">
        <v>24</v>
      </c>
      <c r="K171" s="12">
        <v>7</v>
      </c>
      <c r="L171" t="s">
        <v>20</v>
      </c>
      <c r="M171" s="2">
        <v>2839.2</v>
      </c>
      <c r="N171" s="2">
        <v>462</v>
      </c>
      <c r="P171" s="2">
        <v>1262.7</v>
      </c>
      <c r="Q171" s="13">
        <f t="shared" si="6"/>
        <v>0.38249727371864778</v>
      </c>
      <c r="R171" s="14">
        <f t="shared" si="7"/>
        <v>4563.8999999999996</v>
      </c>
      <c r="S171" s="15">
        <f t="shared" si="8"/>
        <v>5385.4019999999991</v>
      </c>
    </row>
    <row r="172" spans="1:19" x14ac:dyDescent="0.3">
      <c r="A172">
        <v>200010076</v>
      </c>
      <c r="B172">
        <v>273715040</v>
      </c>
      <c r="C172" s="11">
        <v>46230</v>
      </c>
      <c r="D172" s="1">
        <v>874228769151</v>
      </c>
      <c r="E172">
        <v>42023</v>
      </c>
      <c r="F172" t="s">
        <v>25</v>
      </c>
      <c r="G172" s="12">
        <v>4</v>
      </c>
      <c r="H172">
        <v>56</v>
      </c>
      <c r="I172">
        <v>21</v>
      </c>
      <c r="J172">
        <v>20</v>
      </c>
      <c r="K172" s="12">
        <v>4</v>
      </c>
      <c r="L172" t="s">
        <v>20</v>
      </c>
      <c r="M172" s="2">
        <v>1966.1</v>
      </c>
      <c r="N172" s="2">
        <v>264</v>
      </c>
      <c r="P172" s="2">
        <v>853</v>
      </c>
      <c r="Q172" s="13">
        <f t="shared" si="6"/>
        <v>0.38249405856239632</v>
      </c>
      <c r="R172" s="14">
        <f t="shared" si="7"/>
        <v>3083.1</v>
      </c>
      <c r="S172" s="15">
        <f t="shared" si="8"/>
        <v>3638.0579999999995</v>
      </c>
    </row>
    <row r="173" spans="1:19" x14ac:dyDescent="0.3">
      <c r="A173">
        <v>200010076</v>
      </c>
      <c r="B173">
        <v>273715040</v>
      </c>
      <c r="C173" s="11">
        <v>46230</v>
      </c>
      <c r="D173" s="1">
        <v>874228772982</v>
      </c>
      <c r="E173">
        <v>41863</v>
      </c>
      <c r="F173" t="s">
        <v>25</v>
      </c>
      <c r="G173" s="12">
        <v>5</v>
      </c>
      <c r="H173">
        <v>61</v>
      </c>
      <c r="I173">
        <v>22</v>
      </c>
      <c r="J173">
        <v>21</v>
      </c>
      <c r="K173" s="12">
        <v>5</v>
      </c>
      <c r="L173" t="s">
        <v>20</v>
      </c>
      <c r="M173" s="2">
        <v>2231.6999999999998</v>
      </c>
      <c r="N173" s="2">
        <v>330</v>
      </c>
      <c r="P173" s="2">
        <v>979.9</v>
      </c>
      <c r="Q173" s="13">
        <f t="shared" si="6"/>
        <v>0.3825194206971933</v>
      </c>
      <c r="R173" s="14">
        <f t="shared" si="7"/>
        <v>3541.6</v>
      </c>
      <c r="S173" s="15">
        <f t="shared" si="8"/>
        <v>4179.0879999999997</v>
      </c>
    </row>
    <row r="174" spans="1:19" x14ac:dyDescent="0.3">
      <c r="A174">
        <v>200010076</v>
      </c>
      <c r="B174">
        <v>273715040</v>
      </c>
      <c r="C174" s="11">
        <v>46230</v>
      </c>
      <c r="D174" s="1">
        <v>874228776278</v>
      </c>
      <c r="E174">
        <v>40739</v>
      </c>
      <c r="F174" t="s">
        <v>25</v>
      </c>
      <c r="G174" s="12">
        <v>3.5</v>
      </c>
      <c r="H174">
        <v>46</v>
      </c>
      <c r="I174">
        <v>21</v>
      </c>
      <c r="J174">
        <v>20</v>
      </c>
      <c r="K174" s="12">
        <v>3.5</v>
      </c>
      <c r="L174" t="s">
        <v>20</v>
      </c>
      <c r="M174" s="2">
        <v>1833.3</v>
      </c>
      <c r="N174" s="2">
        <v>231</v>
      </c>
      <c r="P174" s="2">
        <v>789.6</v>
      </c>
      <c r="Q174" s="13">
        <f t="shared" si="6"/>
        <v>0.38250254323499489</v>
      </c>
      <c r="R174" s="14">
        <f t="shared" si="7"/>
        <v>2853.9</v>
      </c>
      <c r="S174" s="15">
        <f t="shared" si="8"/>
        <v>3367.6019999999999</v>
      </c>
    </row>
    <row r="175" spans="1:19" x14ac:dyDescent="0.3">
      <c r="A175">
        <v>200010076</v>
      </c>
      <c r="B175">
        <v>273715040</v>
      </c>
      <c r="C175" s="11">
        <v>46230</v>
      </c>
      <c r="D175" s="1">
        <v>874228781060</v>
      </c>
      <c r="E175">
        <v>40889</v>
      </c>
      <c r="F175" t="s">
        <v>25</v>
      </c>
      <c r="G175" s="12">
        <v>5.5</v>
      </c>
      <c r="H175">
        <v>59</v>
      </c>
      <c r="I175">
        <v>23</v>
      </c>
      <c r="J175">
        <v>22</v>
      </c>
      <c r="K175" s="12">
        <v>5.5</v>
      </c>
      <c r="L175" t="s">
        <v>20</v>
      </c>
      <c r="M175" s="2">
        <v>2494</v>
      </c>
      <c r="N175" s="2">
        <v>363</v>
      </c>
      <c r="P175" s="2">
        <v>1092.8</v>
      </c>
      <c r="Q175" s="13">
        <f t="shared" si="6"/>
        <v>0.38249912495624777</v>
      </c>
      <c r="R175" s="14">
        <f t="shared" si="7"/>
        <v>3949.8</v>
      </c>
      <c r="S175" s="15">
        <f t="shared" si="8"/>
        <v>4660.7640000000001</v>
      </c>
    </row>
    <row r="176" spans="1:19" x14ac:dyDescent="0.3">
      <c r="A176">
        <v>200010076</v>
      </c>
      <c r="B176">
        <v>273715040</v>
      </c>
      <c r="C176" s="11">
        <v>46230</v>
      </c>
      <c r="D176" s="1">
        <v>874228784828</v>
      </c>
      <c r="E176">
        <v>41374</v>
      </c>
      <c r="F176" t="s">
        <v>25</v>
      </c>
      <c r="G176" s="12">
        <v>1</v>
      </c>
      <c r="H176">
        <v>43</v>
      </c>
      <c r="I176">
        <v>12</v>
      </c>
      <c r="J176">
        <v>10</v>
      </c>
      <c r="K176" s="12">
        <v>1</v>
      </c>
      <c r="L176" t="s">
        <v>20</v>
      </c>
      <c r="M176" s="2">
        <v>1194.8</v>
      </c>
      <c r="N176" s="2">
        <v>66</v>
      </c>
      <c r="P176" s="2">
        <v>482.3</v>
      </c>
      <c r="Q176" s="13">
        <f t="shared" si="6"/>
        <v>0.38253489847715738</v>
      </c>
      <c r="R176" s="14">
        <f t="shared" si="7"/>
        <v>1743.1</v>
      </c>
      <c r="S176" s="15">
        <f t="shared" si="8"/>
        <v>2056.8579999999997</v>
      </c>
    </row>
    <row r="177" spans="1:19" x14ac:dyDescent="0.3">
      <c r="A177">
        <v>200010076</v>
      </c>
      <c r="B177">
        <v>273715040</v>
      </c>
      <c r="C177" s="11">
        <v>46230</v>
      </c>
      <c r="D177" s="1">
        <v>874228786750</v>
      </c>
      <c r="E177">
        <v>38917</v>
      </c>
      <c r="F177" t="s">
        <v>25</v>
      </c>
      <c r="G177" s="12">
        <v>1.5</v>
      </c>
      <c r="H177">
        <v>54</v>
      </c>
      <c r="I177">
        <v>14</v>
      </c>
      <c r="J177">
        <v>11</v>
      </c>
      <c r="K177" s="12">
        <v>1.5</v>
      </c>
      <c r="L177" t="s">
        <v>20</v>
      </c>
      <c r="M177" s="2">
        <v>1353.7</v>
      </c>
      <c r="N177" s="2">
        <v>99</v>
      </c>
      <c r="P177" s="2">
        <v>555.70000000000005</v>
      </c>
      <c r="Q177" s="13">
        <f t="shared" si="6"/>
        <v>0.38252908377503958</v>
      </c>
      <c r="R177" s="14">
        <f t="shared" si="7"/>
        <v>2008.4</v>
      </c>
      <c r="S177" s="15">
        <f t="shared" si="8"/>
        <v>2369.9119999999998</v>
      </c>
    </row>
    <row r="178" spans="1:19" x14ac:dyDescent="0.3">
      <c r="A178">
        <v>200010076</v>
      </c>
      <c r="B178">
        <v>273715040</v>
      </c>
      <c r="C178" s="11">
        <v>46230</v>
      </c>
      <c r="D178" s="1">
        <v>874228790720</v>
      </c>
      <c r="E178">
        <v>41940</v>
      </c>
      <c r="F178" t="s">
        <v>25</v>
      </c>
      <c r="G178" s="12">
        <v>2.5</v>
      </c>
      <c r="H178">
        <v>51</v>
      </c>
      <c r="I178">
        <v>15</v>
      </c>
      <c r="J178">
        <v>13</v>
      </c>
      <c r="K178" s="12">
        <v>2.5</v>
      </c>
      <c r="L178" t="s">
        <v>20</v>
      </c>
      <c r="M178" s="2">
        <v>1671.3</v>
      </c>
      <c r="N178" s="2">
        <v>165</v>
      </c>
      <c r="P178" s="2">
        <v>702.4</v>
      </c>
      <c r="Q178" s="13">
        <f t="shared" si="6"/>
        <v>0.38250830474323366</v>
      </c>
      <c r="R178" s="14">
        <f t="shared" si="7"/>
        <v>2538.6999999999998</v>
      </c>
      <c r="S178" s="15">
        <f t="shared" si="8"/>
        <v>2995.6659999999997</v>
      </c>
    </row>
    <row r="179" spans="1:19" x14ac:dyDescent="0.3">
      <c r="A179">
        <v>200010076</v>
      </c>
      <c r="B179">
        <v>273715040</v>
      </c>
      <c r="C179" s="11">
        <v>46230</v>
      </c>
      <c r="D179" s="1">
        <v>874228799316</v>
      </c>
      <c r="E179">
        <v>40438</v>
      </c>
      <c r="F179" t="s">
        <v>25</v>
      </c>
      <c r="G179" s="12">
        <v>2</v>
      </c>
      <c r="H179">
        <v>52</v>
      </c>
      <c r="I179">
        <v>15</v>
      </c>
      <c r="J179">
        <v>13</v>
      </c>
      <c r="K179" s="12">
        <v>2</v>
      </c>
      <c r="L179" t="s">
        <v>20</v>
      </c>
      <c r="M179" s="2">
        <v>1512.5</v>
      </c>
      <c r="N179" s="2">
        <v>132</v>
      </c>
      <c r="P179" s="2">
        <v>629</v>
      </c>
      <c r="Q179" s="13">
        <f t="shared" si="6"/>
        <v>0.38248707813925203</v>
      </c>
      <c r="R179" s="14">
        <f t="shared" si="7"/>
        <v>2273.5</v>
      </c>
      <c r="S179" s="15">
        <f t="shared" si="8"/>
        <v>2682.73</v>
      </c>
    </row>
    <row r="180" spans="1:19" x14ac:dyDescent="0.3">
      <c r="A180">
        <v>200010076</v>
      </c>
      <c r="B180">
        <v>273715040</v>
      </c>
      <c r="C180" s="11">
        <v>46230</v>
      </c>
      <c r="D180" s="1">
        <v>874228800026</v>
      </c>
      <c r="E180">
        <v>41111</v>
      </c>
      <c r="F180" t="s">
        <v>25</v>
      </c>
      <c r="G180" s="12">
        <v>5</v>
      </c>
      <c r="H180">
        <v>62</v>
      </c>
      <c r="I180">
        <v>21</v>
      </c>
      <c r="J180">
        <v>20</v>
      </c>
      <c r="K180" s="12">
        <v>5</v>
      </c>
      <c r="L180" t="s">
        <v>20</v>
      </c>
      <c r="M180" s="2">
        <v>2231.6999999999998</v>
      </c>
      <c r="N180" s="2">
        <v>330</v>
      </c>
      <c r="P180" s="2">
        <v>979.9</v>
      </c>
      <c r="Q180" s="13">
        <f t="shared" si="6"/>
        <v>0.3825194206971933</v>
      </c>
      <c r="R180" s="14">
        <f t="shared" si="7"/>
        <v>3541.6</v>
      </c>
      <c r="S180" s="15">
        <f t="shared" si="8"/>
        <v>4179.0879999999997</v>
      </c>
    </row>
    <row r="181" spans="1:19" x14ac:dyDescent="0.3">
      <c r="A181">
        <v>200010076</v>
      </c>
      <c r="B181">
        <v>273715040</v>
      </c>
      <c r="C181" s="11">
        <v>46230</v>
      </c>
      <c r="D181" s="1">
        <v>874228800666</v>
      </c>
      <c r="E181">
        <v>42045</v>
      </c>
      <c r="F181" t="s">
        <v>25</v>
      </c>
      <c r="G181" s="12">
        <v>4.5</v>
      </c>
      <c r="H181">
        <v>61</v>
      </c>
      <c r="I181">
        <v>21</v>
      </c>
      <c r="J181">
        <v>19</v>
      </c>
      <c r="K181" s="12">
        <v>4.5</v>
      </c>
      <c r="L181" t="s">
        <v>20</v>
      </c>
      <c r="M181" s="2">
        <v>2098.9</v>
      </c>
      <c r="N181" s="2">
        <v>297</v>
      </c>
      <c r="P181" s="2">
        <v>916.4</v>
      </c>
      <c r="Q181" s="13">
        <f t="shared" si="6"/>
        <v>0.3824867481948328</v>
      </c>
      <c r="R181" s="14">
        <f t="shared" si="7"/>
        <v>3312.3</v>
      </c>
      <c r="S181" s="15">
        <f t="shared" si="8"/>
        <v>3908.5140000000001</v>
      </c>
    </row>
    <row r="182" spans="1:19" x14ac:dyDescent="0.3">
      <c r="A182">
        <v>200010076</v>
      </c>
      <c r="B182">
        <v>273715040</v>
      </c>
      <c r="C182" s="11">
        <v>46230</v>
      </c>
      <c r="D182" s="1">
        <v>874228807075</v>
      </c>
      <c r="E182">
        <v>41985</v>
      </c>
      <c r="F182" t="s">
        <v>25</v>
      </c>
      <c r="G182" s="12">
        <v>2.5</v>
      </c>
      <c r="H182">
        <v>57</v>
      </c>
      <c r="I182">
        <v>17</v>
      </c>
      <c r="J182">
        <v>14</v>
      </c>
      <c r="K182" s="12">
        <v>2.5</v>
      </c>
      <c r="L182" t="s">
        <v>20</v>
      </c>
      <c r="M182" s="2">
        <v>1671.3</v>
      </c>
      <c r="N182" s="2">
        <v>165</v>
      </c>
      <c r="P182" s="2">
        <v>702.4</v>
      </c>
      <c r="Q182" s="13">
        <f t="shared" si="6"/>
        <v>0.38250830474323366</v>
      </c>
      <c r="R182" s="14">
        <f t="shared" si="7"/>
        <v>2538.6999999999998</v>
      </c>
      <c r="S182" s="15">
        <f t="shared" si="8"/>
        <v>2995.6659999999997</v>
      </c>
    </row>
    <row r="183" spans="1:19" x14ac:dyDescent="0.3">
      <c r="A183">
        <v>200010076</v>
      </c>
      <c r="B183">
        <v>273715040</v>
      </c>
      <c r="C183" s="11">
        <v>46230</v>
      </c>
      <c r="D183" s="1">
        <v>874228808830</v>
      </c>
      <c r="E183">
        <v>41720</v>
      </c>
      <c r="F183" t="s">
        <v>25</v>
      </c>
      <c r="G183" s="12">
        <v>6</v>
      </c>
      <c r="H183">
        <v>61</v>
      </c>
      <c r="I183">
        <v>24</v>
      </c>
      <c r="J183">
        <v>23</v>
      </c>
      <c r="K183" s="12">
        <v>6</v>
      </c>
      <c r="L183" t="s">
        <v>20</v>
      </c>
      <c r="M183" s="2">
        <v>2609.1</v>
      </c>
      <c r="N183" s="2">
        <v>396</v>
      </c>
      <c r="P183" s="2">
        <v>1149.5</v>
      </c>
      <c r="Q183" s="13">
        <f t="shared" si="6"/>
        <v>0.38251638880569699</v>
      </c>
      <c r="R183" s="14">
        <f t="shared" si="7"/>
        <v>4154.6000000000004</v>
      </c>
      <c r="S183" s="15">
        <f t="shared" si="8"/>
        <v>4902.4279999999999</v>
      </c>
    </row>
    <row r="184" spans="1:19" x14ac:dyDescent="0.3">
      <c r="A184">
        <v>200010076</v>
      </c>
      <c r="B184">
        <v>273715040</v>
      </c>
      <c r="C184" s="11">
        <v>46230</v>
      </c>
      <c r="D184" s="1">
        <v>874228815680</v>
      </c>
      <c r="E184">
        <v>41331</v>
      </c>
      <c r="F184" t="s">
        <v>25</v>
      </c>
      <c r="G184" s="12">
        <v>2.59</v>
      </c>
      <c r="H184">
        <v>36</v>
      </c>
      <c r="I184">
        <v>30</v>
      </c>
      <c r="J184">
        <v>15</v>
      </c>
      <c r="K184" s="12">
        <v>2.8</v>
      </c>
      <c r="L184" t="s">
        <v>20</v>
      </c>
      <c r="M184" s="2">
        <v>1700.6</v>
      </c>
      <c r="N184" s="2">
        <v>198</v>
      </c>
      <c r="P184" s="2">
        <v>726.2</v>
      </c>
      <c r="Q184" s="13">
        <f t="shared" si="6"/>
        <v>0.38249236279363746</v>
      </c>
      <c r="R184" s="14">
        <f t="shared" si="7"/>
        <v>2624.8</v>
      </c>
      <c r="S184" s="15">
        <f t="shared" si="8"/>
        <v>3097.2640000000001</v>
      </c>
    </row>
    <row r="185" spans="1:19" x14ac:dyDescent="0.3">
      <c r="A185">
        <v>200010076</v>
      </c>
      <c r="B185">
        <v>273715040</v>
      </c>
      <c r="C185" s="11">
        <v>46230</v>
      </c>
      <c r="D185" s="1">
        <v>874228816702</v>
      </c>
      <c r="E185">
        <v>41427</v>
      </c>
      <c r="F185" t="s">
        <v>25</v>
      </c>
      <c r="G185" s="12">
        <v>3</v>
      </c>
      <c r="H185">
        <v>48</v>
      </c>
      <c r="I185">
        <v>19</v>
      </c>
      <c r="J185">
        <v>19</v>
      </c>
      <c r="K185" s="12">
        <v>3</v>
      </c>
      <c r="L185" t="s">
        <v>20</v>
      </c>
      <c r="M185" s="2">
        <v>1700.6</v>
      </c>
      <c r="N185" s="2">
        <v>198</v>
      </c>
      <c r="P185" s="2">
        <v>726.2</v>
      </c>
      <c r="Q185" s="13">
        <f t="shared" si="6"/>
        <v>0.38249236279363746</v>
      </c>
      <c r="R185" s="14">
        <f t="shared" si="7"/>
        <v>2624.8</v>
      </c>
      <c r="S185" s="15">
        <f t="shared" si="8"/>
        <v>3097.2640000000001</v>
      </c>
    </row>
    <row r="186" spans="1:19" x14ac:dyDescent="0.3">
      <c r="A186">
        <v>200010076</v>
      </c>
      <c r="B186">
        <v>273715040</v>
      </c>
      <c r="C186" s="11">
        <v>46230</v>
      </c>
      <c r="D186" s="1">
        <v>874228822970</v>
      </c>
      <c r="E186">
        <v>39744</v>
      </c>
      <c r="F186" t="s">
        <v>25</v>
      </c>
      <c r="G186" s="12">
        <v>4</v>
      </c>
      <c r="H186">
        <v>49</v>
      </c>
      <c r="I186">
        <v>22</v>
      </c>
      <c r="J186">
        <v>21</v>
      </c>
      <c r="K186" s="12">
        <v>4</v>
      </c>
      <c r="L186" t="s">
        <v>20</v>
      </c>
      <c r="M186" s="2">
        <v>1966.1</v>
      </c>
      <c r="N186" s="2">
        <v>264</v>
      </c>
      <c r="P186" s="2">
        <v>853</v>
      </c>
      <c r="Q186" s="13">
        <f t="shared" si="6"/>
        <v>0.38249405856239632</v>
      </c>
      <c r="R186" s="14">
        <f t="shared" si="7"/>
        <v>3083.1</v>
      </c>
      <c r="S186" s="15">
        <f t="shared" si="8"/>
        <v>3638.0579999999995</v>
      </c>
    </row>
    <row r="187" spans="1:19" x14ac:dyDescent="0.3">
      <c r="A187">
        <v>200010076</v>
      </c>
      <c r="B187">
        <v>273715040</v>
      </c>
      <c r="C187" s="11">
        <v>46230</v>
      </c>
      <c r="D187" s="1">
        <v>874228829069</v>
      </c>
      <c r="E187">
        <v>41669</v>
      </c>
      <c r="F187" t="s">
        <v>25</v>
      </c>
      <c r="G187" s="12">
        <v>5.5</v>
      </c>
      <c r="H187">
        <v>72</v>
      </c>
      <c r="I187">
        <v>22</v>
      </c>
      <c r="J187">
        <v>20</v>
      </c>
      <c r="K187" s="12">
        <v>5.5</v>
      </c>
      <c r="L187" t="s">
        <v>20</v>
      </c>
      <c r="M187" s="2">
        <v>2494</v>
      </c>
      <c r="N187" s="2">
        <v>363</v>
      </c>
      <c r="P187" s="2">
        <v>1092.8</v>
      </c>
      <c r="Q187" s="13">
        <f t="shared" si="6"/>
        <v>0.38249912495624777</v>
      </c>
      <c r="R187" s="14">
        <f t="shared" si="7"/>
        <v>3949.8</v>
      </c>
      <c r="S187" s="15">
        <f t="shared" si="8"/>
        <v>4660.7640000000001</v>
      </c>
    </row>
    <row r="188" spans="1:19" x14ac:dyDescent="0.3">
      <c r="A188">
        <v>200010076</v>
      </c>
      <c r="B188">
        <v>273715040</v>
      </c>
      <c r="C188" s="11">
        <v>46230</v>
      </c>
      <c r="D188" s="1">
        <v>874228837295</v>
      </c>
      <c r="E188">
        <v>41952</v>
      </c>
      <c r="F188" t="s">
        <v>25</v>
      </c>
      <c r="G188" s="12">
        <v>11</v>
      </c>
      <c r="H188">
        <v>49</v>
      </c>
      <c r="I188">
        <v>37</v>
      </c>
      <c r="J188">
        <v>35</v>
      </c>
      <c r="K188" s="12">
        <v>11</v>
      </c>
      <c r="L188" t="s">
        <v>20</v>
      </c>
      <c r="M188" s="2">
        <v>4745.8</v>
      </c>
      <c r="N188" s="2">
        <v>726</v>
      </c>
      <c r="P188" s="2">
        <v>2093</v>
      </c>
      <c r="Q188" s="13">
        <f t="shared" si="6"/>
        <v>0.38250667056544463</v>
      </c>
      <c r="R188" s="14">
        <f t="shared" si="7"/>
        <v>7564.8</v>
      </c>
      <c r="S188" s="15">
        <f t="shared" si="8"/>
        <v>8926.4639999999999</v>
      </c>
    </row>
    <row r="189" spans="1:19" x14ac:dyDescent="0.3">
      <c r="A189">
        <v>200010076</v>
      </c>
      <c r="B189">
        <v>273715040</v>
      </c>
      <c r="C189" s="11">
        <v>46230</v>
      </c>
      <c r="D189" s="1">
        <v>874228838648</v>
      </c>
      <c r="E189">
        <v>41564</v>
      </c>
      <c r="F189" t="s">
        <v>25</v>
      </c>
      <c r="G189" s="12">
        <v>4</v>
      </c>
      <c r="H189">
        <v>57</v>
      </c>
      <c r="I189">
        <v>20</v>
      </c>
      <c r="J189">
        <v>19</v>
      </c>
      <c r="K189" s="12">
        <v>4</v>
      </c>
      <c r="L189" t="s">
        <v>20</v>
      </c>
      <c r="M189" s="2">
        <v>1966.1</v>
      </c>
      <c r="N189" s="2">
        <v>264</v>
      </c>
      <c r="P189" s="2">
        <v>853</v>
      </c>
      <c r="Q189" s="13">
        <f t="shared" si="6"/>
        <v>0.38249405856239632</v>
      </c>
      <c r="R189" s="14">
        <f t="shared" si="7"/>
        <v>3083.1</v>
      </c>
      <c r="S189" s="15">
        <f t="shared" si="8"/>
        <v>3638.0579999999995</v>
      </c>
    </row>
    <row r="190" spans="1:19" x14ac:dyDescent="0.3">
      <c r="A190">
        <v>200010076</v>
      </c>
      <c r="B190">
        <v>273715040</v>
      </c>
      <c r="C190" s="11">
        <v>46230</v>
      </c>
      <c r="D190" s="1">
        <v>874228844367</v>
      </c>
      <c r="E190">
        <v>41788</v>
      </c>
      <c r="F190" t="s">
        <v>25</v>
      </c>
      <c r="G190" s="12">
        <v>1.5</v>
      </c>
      <c r="H190">
        <v>46</v>
      </c>
      <c r="I190">
        <v>15</v>
      </c>
      <c r="J190">
        <v>12</v>
      </c>
      <c r="K190" s="12">
        <v>1.5</v>
      </c>
      <c r="L190" t="s">
        <v>20</v>
      </c>
      <c r="M190" s="2">
        <v>1353.7</v>
      </c>
      <c r="N190" s="2">
        <v>99</v>
      </c>
      <c r="P190" s="2">
        <v>555.70000000000005</v>
      </c>
      <c r="Q190" s="13">
        <f t="shared" si="6"/>
        <v>0.38252908377503958</v>
      </c>
      <c r="R190" s="14">
        <f t="shared" si="7"/>
        <v>2008.4</v>
      </c>
      <c r="S190" s="15">
        <f t="shared" si="8"/>
        <v>2369.9119999999998</v>
      </c>
    </row>
    <row r="191" spans="1:19" x14ac:dyDescent="0.3">
      <c r="A191">
        <v>200010076</v>
      </c>
      <c r="B191">
        <v>273715040</v>
      </c>
      <c r="C191" s="11">
        <v>46230</v>
      </c>
      <c r="D191" s="1">
        <v>874228846256</v>
      </c>
      <c r="E191">
        <v>40012</v>
      </c>
      <c r="F191" t="s">
        <v>25</v>
      </c>
      <c r="G191" s="12">
        <v>1.63</v>
      </c>
      <c r="H191">
        <v>48</v>
      </c>
      <c r="I191">
        <v>18</v>
      </c>
      <c r="J191">
        <v>18</v>
      </c>
      <c r="K191" s="12">
        <v>2.5</v>
      </c>
      <c r="L191" t="s">
        <v>20</v>
      </c>
      <c r="M191" s="2">
        <v>1671.3</v>
      </c>
      <c r="N191" s="2">
        <v>165</v>
      </c>
      <c r="P191" s="2">
        <v>702.4</v>
      </c>
      <c r="Q191" s="13">
        <f t="shared" si="6"/>
        <v>0.38250830474323366</v>
      </c>
      <c r="R191" s="14">
        <f t="shared" si="7"/>
        <v>2538.6999999999998</v>
      </c>
      <c r="S191" s="15">
        <f t="shared" si="8"/>
        <v>2995.6659999999997</v>
      </c>
    </row>
    <row r="192" spans="1:19" x14ac:dyDescent="0.3">
      <c r="A192">
        <v>200010076</v>
      </c>
      <c r="B192">
        <v>273715040</v>
      </c>
      <c r="C192" s="11">
        <v>46230</v>
      </c>
      <c r="D192" s="1">
        <v>874228847263</v>
      </c>
      <c r="E192">
        <v>39165</v>
      </c>
      <c r="F192" t="s">
        <v>25</v>
      </c>
      <c r="G192" s="12">
        <v>5.5</v>
      </c>
      <c r="H192">
        <v>50</v>
      </c>
      <c r="I192">
        <v>26</v>
      </c>
      <c r="J192">
        <v>24</v>
      </c>
      <c r="K192" s="12">
        <v>5.5</v>
      </c>
      <c r="L192" t="s">
        <v>20</v>
      </c>
      <c r="M192" s="2">
        <v>2494</v>
      </c>
      <c r="N192" s="2">
        <v>363</v>
      </c>
      <c r="P192" s="2">
        <v>1092.8</v>
      </c>
      <c r="Q192" s="13">
        <f t="shared" si="6"/>
        <v>0.38249912495624777</v>
      </c>
      <c r="R192" s="14">
        <f t="shared" si="7"/>
        <v>3949.8</v>
      </c>
      <c r="S192" s="15">
        <f t="shared" si="8"/>
        <v>4660.7640000000001</v>
      </c>
    </row>
    <row r="193" spans="1:19" x14ac:dyDescent="0.3">
      <c r="A193">
        <v>200010076</v>
      </c>
      <c r="B193">
        <v>273715040</v>
      </c>
      <c r="C193" s="11">
        <v>46230</v>
      </c>
      <c r="D193" s="1">
        <v>874228848947</v>
      </c>
      <c r="E193">
        <v>42106</v>
      </c>
      <c r="F193" t="s">
        <v>25</v>
      </c>
      <c r="G193" s="12">
        <v>2.5</v>
      </c>
      <c r="H193">
        <v>52</v>
      </c>
      <c r="I193">
        <v>15</v>
      </c>
      <c r="J193">
        <v>14</v>
      </c>
      <c r="K193" s="12">
        <v>2.5</v>
      </c>
      <c r="L193" t="s">
        <v>20</v>
      </c>
      <c r="M193" s="2">
        <v>1671.3</v>
      </c>
      <c r="N193" s="2">
        <v>165</v>
      </c>
      <c r="P193" s="2">
        <v>702.4</v>
      </c>
      <c r="Q193" s="13">
        <f t="shared" si="6"/>
        <v>0.38250830474323366</v>
      </c>
      <c r="R193" s="14">
        <f t="shared" si="7"/>
        <v>2538.6999999999998</v>
      </c>
      <c r="S193" s="15">
        <f t="shared" si="8"/>
        <v>2995.6659999999997</v>
      </c>
    </row>
    <row r="194" spans="1:19" x14ac:dyDescent="0.3">
      <c r="A194">
        <v>200010076</v>
      </c>
      <c r="B194">
        <v>273715040</v>
      </c>
      <c r="C194" s="11">
        <v>46230</v>
      </c>
      <c r="D194" s="1">
        <v>874228854953</v>
      </c>
      <c r="E194">
        <v>41689</v>
      </c>
      <c r="F194" t="s">
        <v>25</v>
      </c>
      <c r="G194" s="12">
        <v>2.5</v>
      </c>
      <c r="H194">
        <v>61</v>
      </c>
      <c r="I194">
        <v>18</v>
      </c>
      <c r="J194">
        <v>18</v>
      </c>
      <c r="K194" s="12">
        <v>3.2</v>
      </c>
      <c r="L194" t="s">
        <v>20</v>
      </c>
      <c r="M194" s="2">
        <v>1833.3</v>
      </c>
      <c r="N194" s="2">
        <v>231</v>
      </c>
      <c r="P194" s="2">
        <v>789.6</v>
      </c>
      <c r="Q194" s="13">
        <f t="shared" si="6"/>
        <v>0.38250254323499489</v>
      </c>
      <c r="R194" s="14">
        <f t="shared" si="7"/>
        <v>2853.9</v>
      </c>
      <c r="S194" s="15">
        <f t="shared" si="8"/>
        <v>3367.6019999999999</v>
      </c>
    </row>
    <row r="195" spans="1:19" x14ac:dyDescent="0.3">
      <c r="A195">
        <v>200010076</v>
      </c>
      <c r="B195">
        <v>273715040</v>
      </c>
      <c r="C195" s="11">
        <v>46230</v>
      </c>
      <c r="D195" s="1">
        <v>874228856420</v>
      </c>
      <c r="E195">
        <v>39928</v>
      </c>
      <c r="F195" t="s">
        <v>25</v>
      </c>
      <c r="G195" s="12">
        <v>2.5</v>
      </c>
      <c r="H195">
        <v>57</v>
      </c>
      <c r="I195">
        <v>16</v>
      </c>
      <c r="J195">
        <v>14</v>
      </c>
      <c r="K195" s="12">
        <v>2.5</v>
      </c>
      <c r="L195" t="s">
        <v>20</v>
      </c>
      <c r="M195" s="2">
        <v>1671.3</v>
      </c>
      <c r="N195" s="2">
        <v>165</v>
      </c>
      <c r="P195" s="2">
        <v>702.4</v>
      </c>
      <c r="Q195" s="13">
        <f t="shared" si="6"/>
        <v>0.38250830474323366</v>
      </c>
      <c r="R195" s="14">
        <f t="shared" si="7"/>
        <v>2538.6999999999998</v>
      </c>
      <c r="S195" s="15">
        <f t="shared" si="8"/>
        <v>2995.6659999999997</v>
      </c>
    </row>
    <row r="196" spans="1:19" x14ac:dyDescent="0.3">
      <c r="A196">
        <v>200010076</v>
      </c>
      <c r="B196">
        <v>273715040</v>
      </c>
      <c r="C196" s="11">
        <v>46230</v>
      </c>
      <c r="D196" s="1">
        <v>874228857070</v>
      </c>
      <c r="E196">
        <v>42110</v>
      </c>
      <c r="F196" t="s">
        <v>25</v>
      </c>
      <c r="G196" s="12">
        <v>2.5</v>
      </c>
      <c r="H196">
        <v>60</v>
      </c>
      <c r="I196">
        <v>16</v>
      </c>
      <c r="J196">
        <v>14</v>
      </c>
      <c r="K196" s="12">
        <v>2.5</v>
      </c>
      <c r="L196" t="s">
        <v>20</v>
      </c>
      <c r="M196" s="2">
        <v>1671.3</v>
      </c>
      <c r="N196" s="2">
        <v>165</v>
      </c>
      <c r="P196" s="2">
        <v>702.4</v>
      </c>
      <c r="Q196" s="13">
        <f t="shared" si="6"/>
        <v>0.38250830474323366</v>
      </c>
      <c r="R196" s="14">
        <f t="shared" si="7"/>
        <v>2538.6999999999998</v>
      </c>
      <c r="S196" s="15">
        <f t="shared" si="8"/>
        <v>2995.6659999999997</v>
      </c>
    </row>
    <row r="197" spans="1:19" x14ac:dyDescent="0.3">
      <c r="A197">
        <v>200010076</v>
      </c>
      <c r="B197">
        <v>273715040</v>
      </c>
      <c r="C197" s="11">
        <v>46230</v>
      </c>
      <c r="D197" s="1">
        <v>874228862610</v>
      </c>
      <c r="E197">
        <v>41076</v>
      </c>
      <c r="F197" t="s">
        <v>25</v>
      </c>
      <c r="G197" s="12">
        <v>2</v>
      </c>
      <c r="H197">
        <v>58</v>
      </c>
      <c r="I197">
        <v>18</v>
      </c>
      <c r="J197">
        <v>15</v>
      </c>
      <c r="K197" s="12">
        <v>2.6</v>
      </c>
      <c r="L197" t="s">
        <v>20</v>
      </c>
      <c r="M197" s="2">
        <v>1700.6</v>
      </c>
      <c r="N197" s="2">
        <v>198</v>
      </c>
      <c r="P197" s="2">
        <v>726.2</v>
      </c>
      <c r="Q197" s="13">
        <f t="shared" si="6"/>
        <v>0.38249236279363746</v>
      </c>
      <c r="R197" s="14">
        <f t="shared" si="7"/>
        <v>2624.8</v>
      </c>
      <c r="S197" s="15">
        <f t="shared" si="8"/>
        <v>3097.2640000000001</v>
      </c>
    </row>
    <row r="198" spans="1:19" x14ac:dyDescent="0.3">
      <c r="A198">
        <v>200010076</v>
      </c>
      <c r="B198">
        <v>273715040</v>
      </c>
      <c r="C198" s="11">
        <v>46230</v>
      </c>
      <c r="D198" s="1">
        <v>874228865413</v>
      </c>
      <c r="E198">
        <v>42204</v>
      </c>
      <c r="F198" t="s">
        <v>25</v>
      </c>
      <c r="G198" s="12">
        <v>4.5</v>
      </c>
      <c r="H198">
        <v>64</v>
      </c>
      <c r="I198">
        <v>21</v>
      </c>
      <c r="J198">
        <v>19</v>
      </c>
      <c r="K198" s="12">
        <v>4.5</v>
      </c>
      <c r="L198" t="s">
        <v>20</v>
      </c>
      <c r="M198" s="2">
        <v>2098.9</v>
      </c>
      <c r="N198" s="2">
        <v>297</v>
      </c>
      <c r="P198" s="2">
        <v>916.4</v>
      </c>
      <c r="Q198" s="13">
        <f t="shared" si="6"/>
        <v>0.3824867481948328</v>
      </c>
      <c r="R198" s="14">
        <f t="shared" si="7"/>
        <v>3312.3</v>
      </c>
      <c r="S198" s="15">
        <f t="shared" si="8"/>
        <v>3908.5140000000001</v>
      </c>
    </row>
    <row r="199" spans="1:19" x14ac:dyDescent="0.3">
      <c r="A199">
        <v>200010076</v>
      </c>
      <c r="B199">
        <v>273715040</v>
      </c>
      <c r="C199" s="11">
        <v>46230</v>
      </c>
      <c r="D199" s="1">
        <v>874228866590</v>
      </c>
      <c r="E199">
        <v>41964</v>
      </c>
      <c r="F199" t="s">
        <v>25</v>
      </c>
      <c r="G199" s="12">
        <v>6</v>
      </c>
      <c r="H199">
        <v>54</v>
      </c>
      <c r="I199">
        <v>26</v>
      </c>
      <c r="J199">
        <v>26</v>
      </c>
      <c r="K199" s="12">
        <v>6.1</v>
      </c>
      <c r="L199" t="s">
        <v>20</v>
      </c>
      <c r="M199" s="2">
        <v>2724.1</v>
      </c>
      <c r="N199" s="2">
        <v>429</v>
      </c>
      <c r="P199" s="2">
        <v>1206.0999999999999</v>
      </c>
      <c r="Q199" s="13">
        <f t="shared" si="6"/>
        <v>0.3825124480669817</v>
      </c>
      <c r="R199" s="14">
        <f t="shared" si="7"/>
        <v>4359.2</v>
      </c>
      <c r="S199" s="15">
        <f t="shared" si="8"/>
        <v>5143.8559999999998</v>
      </c>
    </row>
    <row r="200" spans="1:19" x14ac:dyDescent="0.3">
      <c r="A200">
        <v>200010076</v>
      </c>
      <c r="B200">
        <v>273715040</v>
      </c>
      <c r="C200" s="11">
        <v>46230</v>
      </c>
      <c r="D200" s="1">
        <v>874228872757</v>
      </c>
      <c r="E200">
        <v>4087291212</v>
      </c>
      <c r="F200" t="s">
        <v>25</v>
      </c>
      <c r="G200" s="12">
        <v>8.5</v>
      </c>
      <c r="H200">
        <v>75</v>
      </c>
      <c r="I200">
        <v>26</v>
      </c>
      <c r="J200">
        <v>25</v>
      </c>
      <c r="K200" s="12">
        <v>8.5</v>
      </c>
      <c r="L200" t="s">
        <v>20</v>
      </c>
      <c r="M200" s="2">
        <v>3184.4</v>
      </c>
      <c r="N200" s="2">
        <v>561</v>
      </c>
      <c r="P200" s="2">
        <v>1432.6</v>
      </c>
      <c r="Q200" s="13">
        <f t="shared" si="6"/>
        <v>0.38249586159021731</v>
      </c>
      <c r="R200" s="14">
        <f t="shared" si="7"/>
        <v>5178</v>
      </c>
      <c r="S200" s="15">
        <f t="shared" si="8"/>
        <v>6110.04</v>
      </c>
    </row>
    <row r="201" spans="1:19" x14ac:dyDescent="0.3">
      <c r="A201">
        <v>200010076</v>
      </c>
      <c r="B201">
        <v>273715040</v>
      </c>
      <c r="C201" s="11">
        <v>46230</v>
      </c>
      <c r="D201" s="1">
        <v>874228874360</v>
      </c>
      <c r="E201">
        <v>41700</v>
      </c>
      <c r="F201" t="s">
        <v>25</v>
      </c>
      <c r="G201" s="12">
        <v>1</v>
      </c>
      <c r="H201">
        <v>48</v>
      </c>
      <c r="I201">
        <v>11</v>
      </c>
      <c r="J201">
        <v>11</v>
      </c>
      <c r="K201" s="12">
        <v>1</v>
      </c>
      <c r="L201" t="s">
        <v>20</v>
      </c>
      <c r="M201" s="2">
        <v>1194.8</v>
      </c>
      <c r="N201" s="2">
        <v>66</v>
      </c>
      <c r="P201" s="2">
        <v>482.3</v>
      </c>
      <c r="Q201" s="13">
        <f t="shared" ref="Q201:Q264" si="9">+P201/SUM(M201:O201)</f>
        <v>0.38253489847715738</v>
      </c>
      <c r="R201" s="14">
        <f t="shared" ref="R201:R264" si="10">SUM(M201:P201)</f>
        <v>1743.1</v>
      </c>
      <c r="S201" s="15">
        <f t="shared" ref="S201:S264" si="11">+R201*1.18</f>
        <v>2056.8579999999997</v>
      </c>
    </row>
    <row r="202" spans="1:19" x14ac:dyDescent="0.3">
      <c r="A202">
        <v>200010076</v>
      </c>
      <c r="B202">
        <v>273715040</v>
      </c>
      <c r="C202" s="11">
        <v>46230</v>
      </c>
      <c r="D202" s="1">
        <v>874228880582</v>
      </c>
      <c r="E202">
        <v>41999</v>
      </c>
      <c r="F202" t="s">
        <v>25</v>
      </c>
      <c r="G202" s="12">
        <v>15</v>
      </c>
      <c r="H202">
        <v>64</v>
      </c>
      <c r="I202">
        <v>37</v>
      </c>
      <c r="J202">
        <v>36</v>
      </c>
      <c r="K202" s="12">
        <v>15</v>
      </c>
      <c r="L202" t="s">
        <v>20</v>
      </c>
      <c r="M202" s="2">
        <v>6111.3</v>
      </c>
      <c r="N202" s="2">
        <v>990</v>
      </c>
      <c r="P202" s="2">
        <v>2716.3</v>
      </c>
      <c r="Q202" s="13">
        <f t="shared" si="9"/>
        <v>0.38250742821736866</v>
      </c>
      <c r="R202" s="14">
        <f t="shared" si="10"/>
        <v>9817.6</v>
      </c>
      <c r="S202" s="15">
        <f t="shared" si="11"/>
        <v>11584.768</v>
      </c>
    </row>
    <row r="203" spans="1:19" x14ac:dyDescent="0.3">
      <c r="A203">
        <v>200010076</v>
      </c>
      <c r="B203">
        <v>273715040</v>
      </c>
      <c r="C203" s="11">
        <v>46230</v>
      </c>
      <c r="D203" s="1">
        <v>874228883136</v>
      </c>
      <c r="E203">
        <v>40594</v>
      </c>
      <c r="F203" t="s">
        <v>25</v>
      </c>
      <c r="G203" s="12">
        <v>4</v>
      </c>
      <c r="H203">
        <v>37</v>
      </c>
      <c r="I203">
        <v>31</v>
      </c>
      <c r="J203">
        <v>25</v>
      </c>
      <c r="K203" s="12">
        <v>4.8</v>
      </c>
      <c r="L203" t="s">
        <v>20</v>
      </c>
      <c r="M203" s="2">
        <v>2231.6999999999998</v>
      </c>
      <c r="N203" s="2">
        <v>330</v>
      </c>
      <c r="P203" s="2">
        <v>979.9</v>
      </c>
      <c r="Q203" s="13">
        <f t="shared" si="9"/>
        <v>0.3825194206971933</v>
      </c>
      <c r="R203" s="14">
        <f t="shared" si="10"/>
        <v>3541.6</v>
      </c>
      <c r="S203" s="15">
        <f t="shared" si="11"/>
        <v>4179.0879999999997</v>
      </c>
    </row>
    <row r="204" spans="1:19" x14ac:dyDescent="0.3">
      <c r="A204">
        <v>200010076</v>
      </c>
      <c r="B204">
        <v>273715040</v>
      </c>
      <c r="C204" s="11">
        <v>46230</v>
      </c>
      <c r="D204" s="1">
        <v>874228889189</v>
      </c>
      <c r="E204">
        <v>41634</v>
      </c>
      <c r="F204" t="s">
        <v>25</v>
      </c>
      <c r="G204" s="12">
        <v>4.72</v>
      </c>
      <c r="H204">
        <v>34</v>
      </c>
      <c r="I204">
        <v>27</v>
      </c>
      <c r="J204">
        <v>26</v>
      </c>
      <c r="K204" s="12">
        <v>4.7</v>
      </c>
      <c r="L204" t="s">
        <v>20</v>
      </c>
      <c r="M204" s="2">
        <v>2231.6999999999998</v>
      </c>
      <c r="N204" s="2">
        <v>330</v>
      </c>
      <c r="P204" s="2">
        <v>979.9</v>
      </c>
      <c r="Q204" s="13">
        <f t="shared" si="9"/>
        <v>0.3825194206971933</v>
      </c>
      <c r="R204" s="14">
        <f t="shared" si="10"/>
        <v>3541.6</v>
      </c>
      <c r="S204" s="15">
        <f t="shared" si="11"/>
        <v>4179.0879999999997</v>
      </c>
    </row>
    <row r="205" spans="1:19" x14ac:dyDescent="0.3">
      <c r="A205">
        <v>200010076</v>
      </c>
      <c r="B205">
        <v>273715040</v>
      </c>
      <c r="C205" s="11">
        <v>46230</v>
      </c>
      <c r="D205" s="1">
        <v>874257261153</v>
      </c>
      <c r="E205">
        <v>40007</v>
      </c>
      <c r="F205" t="s">
        <v>25</v>
      </c>
      <c r="G205" s="12">
        <v>36</v>
      </c>
      <c r="H205">
        <v>79</v>
      </c>
      <c r="I205">
        <v>33</v>
      </c>
      <c r="J205">
        <v>32</v>
      </c>
      <c r="K205" s="12">
        <v>35.799999999999997</v>
      </c>
      <c r="L205" t="s">
        <v>20</v>
      </c>
      <c r="M205" s="2">
        <v>14100.4</v>
      </c>
      <c r="N205" s="2">
        <v>2376</v>
      </c>
      <c r="P205" s="2">
        <v>6302.2</v>
      </c>
      <c r="Q205" s="13">
        <f t="shared" si="9"/>
        <v>0.3824986040639945</v>
      </c>
      <c r="R205" s="14">
        <f t="shared" si="10"/>
        <v>22778.600000000002</v>
      </c>
      <c r="S205" s="15">
        <f t="shared" si="11"/>
        <v>26878.748</v>
      </c>
    </row>
    <row r="206" spans="1:19" x14ac:dyDescent="0.3">
      <c r="A206">
        <v>200010076</v>
      </c>
      <c r="B206">
        <v>273715040</v>
      </c>
      <c r="C206" s="11">
        <v>46230</v>
      </c>
      <c r="D206" s="1">
        <v>874257284603</v>
      </c>
      <c r="E206">
        <v>41457</v>
      </c>
      <c r="F206" t="s">
        <v>25</v>
      </c>
      <c r="G206" s="12">
        <v>5.5</v>
      </c>
      <c r="H206">
        <v>52</v>
      </c>
      <c r="I206">
        <v>25</v>
      </c>
      <c r="J206">
        <v>24</v>
      </c>
      <c r="K206" s="12">
        <v>5.5</v>
      </c>
      <c r="L206" t="s">
        <v>20</v>
      </c>
      <c r="M206" s="2">
        <v>2494</v>
      </c>
      <c r="N206" s="2">
        <v>363</v>
      </c>
      <c r="P206" s="2">
        <v>1092.8</v>
      </c>
      <c r="Q206" s="13">
        <f t="shared" si="9"/>
        <v>0.38249912495624777</v>
      </c>
      <c r="R206" s="14">
        <f t="shared" si="10"/>
        <v>3949.8</v>
      </c>
      <c r="S206" s="15">
        <f t="shared" si="11"/>
        <v>4660.7640000000001</v>
      </c>
    </row>
    <row r="207" spans="1:19" x14ac:dyDescent="0.3">
      <c r="A207">
        <v>200010076</v>
      </c>
      <c r="B207">
        <v>273715040</v>
      </c>
      <c r="C207" s="11">
        <v>46230</v>
      </c>
      <c r="D207" s="1">
        <v>874257285713</v>
      </c>
      <c r="E207">
        <v>41758</v>
      </c>
      <c r="F207" t="s">
        <v>25</v>
      </c>
      <c r="G207" s="12">
        <v>9</v>
      </c>
      <c r="H207">
        <v>68</v>
      </c>
      <c r="I207">
        <v>28</v>
      </c>
      <c r="J207">
        <v>27</v>
      </c>
      <c r="K207" s="12">
        <v>9</v>
      </c>
      <c r="L207" t="s">
        <v>20</v>
      </c>
      <c r="M207" s="2">
        <v>3299.4</v>
      </c>
      <c r="N207" s="2">
        <v>594</v>
      </c>
      <c r="P207" s="2">
        <v>1489.2</v>
      </c>
      <c r="Q207" s="13">
        <f t="shared" si="9"/>
        <v>0.38249345045461552</v>
      </c>
      <c r="R207" s="14">
        <f t="shared" si="10"/>
        <v>5382.6</v>
      </c>
      <c r="S207" s="15">
        <f t="shared" si="11"/>
        <v>6351.4679999999998</v>
      </c>
    </row>
    <row r="208" spans="1:19" x14ac:dyDescent="0.3">
      <c r="A208">
        <v>200010076</v>
      </c>
      <c r="B208">
        <v>273715040</v>
      </c>
      <c r="C208" s="11">
        <v>46230</v>
      </c>
      <c r="D208" s="1">
        <v>874257286043</v>
      </c>
      <c r="E208">
        <v>41324</v>
      </c>
      <c r="F208" t="s">
        <v>25</v>
      </c>
      <c r="G208" s="12">
        <v>1.5</v>
      </c>
      <c r="H208">
        <v>50</v>
      </c>
      <c r="I208">
        <v>12</v>
      </c>
      <c r="J208">
        <v>12</v>
      </c>
      <c r="K208" s="12">
        <v>1.5</v>
      </c>
      <c r="L208" t="s">
        <v>20</v>
      </c>
      <c r="M208" s="2">
        <v>1353.7</v>
      </c>
      <c r="N208" s="2">
        <v>99</v>
      </c>
      <c r="P208" s="2">
        <v>555.70000000000005</v>
      </c>
      <c r="Q208" s="13">
        <f t="shared" si="9"/>
        <v>0.38252908377503958</v>
      </c>
      <c r="R208" s="14">
        <f t="shared" si="10"/>
        <v>2008.4</v>
      </c>
      <c r="S208" s="15">
        <f t="shared" si="11"/>
        <v>2369.9119999999998</v>
      </c>
    </row>
    <row r="209" spans="1:19" x14ac:dyDescent="0.3">
      <c r="A209">
        <v>200010076</v>
      </c>
      <c r="B209">
        <v>273715040</v>
      </c>
      <c r="C209" s="11">
        <v>46230</v>
      </c>
      <c r="D209" s="1">
        <v>874257286180</v>
      </c>
      <c r="E209">
        <v>41868</v>
      </c>
      <c r="F209" t="s">
        <v>25</v>
      </c>
      <c r="G209" s="12">
        <v>1.5</v>
      </c>
      <c r="H209">
        <v>51</v>
      </c>
      <c r="I209">
        <v>13</v>
      </c>
      <c r="J209">
        <v>11</v>
      </c>
      <c r="K209" s="12">
        <v>1.5</v>
      </c>
      <c r="L209" t="s">
        <v>20</v>
      </c>
      <c r="M209" s="2">
        <v>1353.7</v>
      </c>
      <c r="N209" s="2">
        <v>99</v>
      </c>
      <c r="P209" s="2">
        <v>555.70000000000005</v>
      </c>
      <c r="Q209" s="13">
        <f t="shared" si="9"/>
        <v>0.38252908377503958</v>
      </c>
      <c r="R209" s="14">
        <f t="shared" si="10"/>
        <v>2008.4</v>
      </c>
      <c r="S209" s="15">
        <f t="shared" si="11"/>
        <v>2369.9119999999998</v>
      </c>
    </row>
    <row r="210" spans="1:19" x14ac:dyDescent="0.3">
      <c r="A210">
        <v>200010076</v>
      </c>
      <c r="B210">
        <v>273715040</v>
      </c>
      <c r="C210" s="11">
        <v>46230</v>
      </c>
      <c r="D210" s="1">
        <v>874257287430</v>
      </c>
      <c r="E210">
        <v>41713</v>
      </c>
      <c r="F210" t="s">
        <v>25</v>
      </c>
      <c r="G210" s="12">
        <v>4.5</v>
      </c>
      <c r="H210">
        <v>47</v>
      </c>
      <c r="I210">
        <v>25</v>
      </c>
      <c r="J210">
        <v>22</v>
      </c>
      <c r="K210" s="12">
        <v>4.5</v>
      </c>
      <c r="L210" t="s">
        <v>20</v>
      </c>
      <c r="M210" s="2">
        <v>2098.9</v>
      </c>
      <c r="N210" s="2">
        <v>297</v>
      </c>
      <c r="P210" s="2">
        <v>916.4</v>
      </c>
      <c r="Q210" s="13">
        <f t="shared" si="9"/>
        <v>0.3824867481948328</v>
      </c>
      <c r="R210" s="14">
        <f t="shared" si="10"/>
        <v>3312.3</v>
      </c>
      <c r="S210" s="15">
        <f t="shared" si="11"/>
        <v>3908.5140000000001</v>
      </c>
    </row>
    <row r="211" spans="1:19" x14ac:dyDescent="0.3">
      <c r="A211">
        <v>200010076</v>
      </c>
      <c r="B211">
        <v>273715040</v>
      </c>
      <c r="C211" s="11">
        <v>46230</v>
      </c>
      <c r="D211" s="1">
        <v>874257288425</v>
      </c>
      <c r="E211">
        <v>40707</v>
      </c>
      <c r="F211" t="s">
        <v>25</v>
      </c>
      <c r="G211" s="12">
        <v>16.5</v>
      </c>
      <c r="H211">
        <v>62</v>
      </c>
      <c r="I211">
        <v>41</v>
      </c>
      <c r="J211">
        <v>38</v>
      </c>
      <c r="K211" s="12">
        <v>16.5</v>
      </c>
      <c r="L211" t="s">
        <v>20</v>
      </c>
      <c r="M211" s="2">
        <v>6623.3</v>
      </c>
      <c r="N211" s="2">
        <v>1089</v>
      </c>
      <c r="P211" s="2">
        <v>2950</v>
      </c>
      <c r="Q211" s="13">
        <f t="shared" si="9"/>
        <v>0.3825058672510146</v>
      </c>
      <c r="R211" s="14">
        <f t="shared" si="10"/>
        <v>10662.3</v>
      </c>
      <c r="S211" s="15">
        <f t="shared" si="11"/>
        <v>12581.513999999999</v>
      </c>
    </row>
    <row r="212" spans="1:19" x14ac:dyDescent="0.3">
      <c r="A212">
        <v>200010076</v>
      </c>
      <c r="B212">
        <v>273715040</v>
      </c>
      <c r="C212" s="11">
        <v>46230</v>
      </c>
      <c r="D212" s="1">
        <v>874257288470</v>
      </c>
      <c r="E212">
        <v>41117</v>
      </c>
      <c r="F212" t="s">
        <v>25</v>
      </c>
      <c r="G212" s="12">
        <v>4.5</v>
      </c>
      <c r="H212">
        <v>50</v>
      </c>
      <c r="I212">
        <v>22</v>
      </c>
      <c r="J212">
        <v>22</v>
      </c>
      <c r="K212" s="12">
        <v>4.5</v>
      </c>
      <c r="L212" t="s">
        <v>20</v>
      </c>
      <c r="M212" s="2">
        <v>2098.9</v>
      </c>
      <c r="N212" s="2">
        <v>297</v>
      </c>
      <c r="P212" s="2">
        <v>916.4</v>
      </c>
      <c r="Q212" s="13">
        <f t="shared" si="9"/>
        <v>0.3824867481948328</v>
      </c>
      <c r="R212" s="14">
        <f t="shared" si="10"/>
        <v>3312.3</v>
      </c>
      <c r="S212" s="15">
        <f t="shared" si="11"/>
        <v>3908.5140000000001</v>
      </c>
    </row>
    <row r="213" spans="1:19" x14ac:dyDescent="0.3">
      <c r="A213">
        <v>200010076</v>
      </c>
      <c r="B213">
        <v>273715040</v>
      </c>
      <c r="C213" s="11">
        <v>46230</v>
      </c>
      <c r="D213" s="1">
        <v>874257289579</v>
      </c>
      <c r="E213">
        <v>4082658329</v>
      </c>
      <c r="F213" t="s">
        <v>25</v>
      </c>
      <c r="G213" s="12">
        <v>13.5</v>
      </c>
      <c r="H213">
        <v>88</v>
      </c>
      <c r="I213">
        <v>30</v>
      </c>
      <c r="J213">
        <v>30</v>
      </c>
      <c r="K213" s="12">
        <v>13.5</v>
      </c>
      <c r="L213" t="s">
        <v>20</v>
      </c>
      <c r="M213" s="2">
        <v>5599.2</v>
      </c>
      <c r="N213" s="2">
        <v>891</v>
      </c>
      <c r="P213" s="2">
        <v>2482.5</v>
      </c>
      <c r="Q213" s="13">
        <f t="shared" si="9"/>
        <v>0.38249976888231491</v>
      </c>
      <c r="R213" s="14">
        <f t="shared" si="10"/>
        <v>8972.7000000000007</v>
      </c>
      <c r="S213" s="15">
        <f t="shared" si="11"/>
        <v>10587.786</v>
      </c>
    </row>
    <row r="214" spans="1:19" x14ac:dyDescent="0.3">
      <c r="A214">
        <v>200010076</v>
      </c>
      <c r="B214">
        <v>273715040</v>
      </c>
      <c r="C214" s="11">
        <v>46230</v>
      </c>
      <c r="D214" s="1">
        <v>874257290068</v>
      </c>
      <c r="E214">
        <v>42249</v>
      </c>
      <c r="F214" t="s">
        <v>25</v>
      </c>
      <c r="G214" s="12">
        <v>5.5</v>
      </c>
      <c r="H214">
        <v>53</v>
      </c>
      <c r="I214">
        <v>25</v>
      </c>
      <c r="J214">
        <v>24</v>
      </c>
      <c r="K214" s="12">
        <v>5.5</v>
      </c>
      <c r="L214" t="s">
        <v>20</v>
      </c>
      <c r="M214" s="2">
        <v>2494</v>
      </c>
      <c r="N214" s="2">
        <v>363</v>
      </c>
      <c r="P214" s="2">
        <v>1092.8</v>
      </c>
      <c r="Q214" s="13">
        <f t="shared" si="9"/>
        <v>0.38249912495624777</v>
      </c>
      <c r="R214" s="14">
        <f t="shared" si="10"/>
        <v>3949.8</v>
      </c>
      <c r="S214" s="15">
        <f t="shared" si="11"/>
        <v>4660.7640000000001</v>
      </c>
    </row>
    <row r="215" spans="1:19" x14ac:dyDescent="0.3">
      <c r="A215">
        <v>200010076</v>
      </c>
      <c r="B215">
        <v>273715040</v>
      </c>
      <c r="C215" s="11">
        <v>46230</v>
      </c>
      <c r="D215" s="1">
        <v>874257291226</v>
      </c>
      <c r="E215">
        <v>41557</v>
      </c>
      <c r="F215" t="s">
        <v>25</v>
      </c>
      <c r="G215" s="12">
        <v>1.5</v>
      </c>
      <c r="H215">
        <v>41</v>
      </c>
      <c r="I215">
        <v>14</v>
      </c>
      <c r="J215">
        <v>11</v>
      </c>
      <c r="K215" s="12">
        <v>1.5</v>
      </c>
      <c r="L215" t="s">
        <v>20</v>
      </c>
      <c r="M215" s="2">
        <v>1353.7</v>
      </c>
      <c r="N215" s="2">
        <v>99</v>
      </c>
      <c r="P215" s="2">
        <v>555.70000000000005</v>
      </c>
      <c r="Q215" s="13">
        <f t="shared" si="9"/>
        <v>0.38252908377503958</v>
      </c>
      <c r="R215" s="14">
        <f t="shared" si="10"/>
        <v>2008.4</v>
      </c>
      <c r="S215" s="15">
        <f t="shared" si="11"/>
        <v>2369.9119999999998</v>
      </c>
    </row>
    <row r="216" spans="1:19" x14ac:dyDescent="0.3">
      <c r="A216">
        <v>200010076</v>
      </c>
      <c r="B216">
        <v>273715040</v>
      </c>
      <c r="C216" s="11">
        <v>46230</v>
      </c>
      <c r="D216" s="1">
        <v>874257292288</v>
      </c>
      <c r="E216">
        <v>41401</v>
      </c>
      <c r="F216" t="s">
        <v>25</v>
      </c>
      <c r="G216" s="12">
        <v>8.5</v>
      </c>
      <c r="H216">
        <v>58</v>
      </c>
      <c r="I216">
        <v>30</v>
      </c>
      <c r="J216">
        <v>28</v>
      </c>
      <c r="K216" s="12">
        <v>8.5</v>
      </c>
      <c r="L216" t="s">
        <v>20</v>
      </c>
      <c r="M216" s="2">
        <v>3184.4</v>
      </c>
      <c r="N216" s="2">
        <v>561</v>
      </c>
      <c r="P216" s="2">
        <v>1432.6</v>
      </c>
      <c r="Q216" s="13">
        <f t="shared" si="9"/>
        <v>0.38249586159021731</v>
      </c>
      <c r="R216" s="14">
        <f t="shared" si="10"/>
        <v>5178</v>
      </c>
      <c r="S216" s="15">
        <f t="shared" si="11"/>
        <v>6110.04</v>
      </c>
    </row>
    <row r="217" spans="1:19" x14ac:dyDescent="0.3">
      <c r="A217">
        <v>200010076</v>
      </c>
      <c r="B217">
        <v>273715040</v>
      </c>
      <c r="C217" s="11">
        <v>46230</v>
      </c>
      <c r="D217" s="1">
        <v>874257292531</v>
      </c>
      <c r="E217">
        <v>41912</v>
      </c>
      <c r="F217" t="s">
        <v>25</v>
      </c>
      <c r="G217" s="12">
        <v>3.63</v>
      </c>
      <c r="H217">
        <v>56</v>
      </c>
      <c r="I217">
        <v>23</v>
      </c>
      <c r="J217">
        <v>23</v>
      </c>
      <c r="K217" s="12">
        <v>4.9000000000000004</v>
      </c>
      <c r="L217" t="s">
        <v>20</v>
      </c>
      <c r="M217" s="2">
        <v>2231.6999999999998</v>
      </c>
      <c r="N217" s="2">
        <v>330</v>
      </c>
      <c r="P217" s="2">
        <v>979.9</v>
      </c>
      <c r="Q217" s="13">
        <f t="shared" si="9"/>
        <v>0.3825194206971933</v>
      </c>
      <c r="R217" s="14">
        <f t="shared" si="10"/>
        <v>3541.6</v>
      </c>
      <c r="S217" s="15">
        <f t="shared" si="11"/>
        <v>4179.0879999999997</v>
      </c>
    </row>
    <row r="218" spans="1:19" x14ac:dyDescent="0.3">
      <c r="A218">
        <v>200010076</v>
      </c>
      <c r="B218">
        <v>273715040</v>
      </c>
      <c r="C218" s="11">
        <v>46230</v>
      </c>
      <c r="D218" s="1">
        <v>874257293192</v>
      </c>
      <c r="E218">
        <v>4076917432</v>
      </c>
      <c r="F218" t="s">
        <v>25</v>
      </c>
      <c r="G218" s="12">
        <v>8</v>
      </c>
      <c r="H218">
        <v>49</v>
      </c>
      <c r="I218">
        <v>30</v>
      </c>
      <c r="J218">
        <v>29</v>
      </c>
      <c r="K218" s="12">
        <v>8</v>
      </c>
      <c r="L218" t="s">
        <v>20</v>
      </c>
      <c r="M218" s="2">
        <v>3069.3</v>
      </c>
      <c r="N218" s="2">
        <v>528</v>
      </c>
      <c r="P218" s="2">
        <v>1376</v>
      </c>
      <c r="Q218" s="13">
        <f t="shared" si="9"/>
        <v>0.3825091040502599</v>
      </c>
      <c r="R218" s="14">
        <f t="shared" si="10"/>
        <v>4973.3</v>
      </c>
      <c r="S218" s="15">
        <f t="shared" si="11"/>
        <v>5868.4939999999997</v>
      </c>
    </row>
    <row r="219" spans="1:19" x14ac:dyDescent="0.3">
      <c r="A219">
        <v>200010076</v>
      </c>
      <c r="B219">
        <v>273715040</v>
      </c>
      <c r="C219" s="11">
        <v>46230</v>
      </c>
      <c r="D219" s="1">
        <v>874257293549</v>
      </c>
      <c r="E219">
        <v>41775</v>
      </c>
      <c r="F219" t="s">
        <v>25</v>
      </c>
      <c r="G219" s="12">
        <v>9</v>
      </c>
      <c r="H219">
        <v>75</v>
      </c>
      <c r="I219">
        <v>27</v>
      </c>
      <c r="J219">
        <v>25</v>
      </c>
      <c r="K219" s="12">
        <v>9</v>
      </c>
      <c r="L219" t="s">
        <v>20</v>
      </c>
      <c r="M219" s="2">
        <v>3299.4</v>
      </c>
      <c r="N219" s="2">
        <v>594</v>
      </c>
      <c r="P219" s="2">
        <v>1489.2</v>
      </c>
      <c r="Q219" s="13">
        <f t="shared" si="9"/>
        <v>0.38249345045461552</v>
      </c>
      <c r="R219" s="14">
        <f t="shared" si="10"/>
        <v>5382.6</v>
      </c>
      <c r="S219" s="15">
        <f t="shared" si="11"/>
        <v>6351.4679999999998</v>
      </c>
    </row>
    <row r="220" spans="1:19" x14ac:dyDescent="0.3">
      <c r="A220">
        <v>200010076</v>
      </c>
      <c r="B220">
        <v>273715040</v>
      </c>
      <c r="C220" s="11">
        <v>46230</v>
      </c>
      <c r="D220" s="1">
        <v>874257294020</v>
      </c>
      <c r="E220">
        <v>4094142030</v>
      </c>
      <c r="F220" t="s">
        <v>25</v>
      </c>
      <c r="G220" s="12">
        <v>5.5</v>
      </c>
      <c r="H220">
        <v>50</v>
      </c>
      <c r="I220">
        <v>25</v>
      </c>
      <c r="J220">
        <v>24</v>
      </c>
      <c r="K220" s="12">
        <v>5.5</v>
      </c>
      <c r="L220" t="s">
        <v>20</v>
      </c>
      <c r="M220" s="2">
        <v>2494</v>
      </c>
      <c r="N220" s="2">
        <v>363</v>
      </c>
      <c r="P220" s="2">
        <v>1092.8</v>
      </c>
      <c r="Q220" s="13">
        <f t="shared" si="9"/>
        <v>0.38249912495624777</v>
      </c>
      <c r="R220" s="14">
        <f t="shared" si="10"/>
        <v>3949.8</v>
      </c>
      <c r="S220" s="15">
        <f t="shared" si="11"/>
        <v>4660.7640000000001</v>
      </c>
    </row>
    <row r="221" spans="1:19" x14ac:dyDescent="0.3">
      <c r="A221">
        <v>200010076</v>
      </c>
      <c r="B221">
        <v>273715040</v>
      </c>
      <c r="C221" s="11">
        <v>46230</v>
      </c>
      <c r="D221" s="1">
        <v>874257294898</v>
      </c>
      <c r="E221">
        <v>40782</v>
      </c>
      <c r="F221" t="s">
        <v>25</v>
      </c>
      <c r="G221" s="12">
        <v>3</v>
      </c>
      <c r="H221">
        <v>80</v>
      </c>
      <c r="I221">
        <v>15</v>
      </c>
      <c r="J221">
        <v>13</v>
      </c>
      <c r="K221" s="12">
        <v>3</v>
      </c>
      <c r="L221" t="s">
        <v>20</v>
      </c>
      <c r="M221" s="2">
        <v>1700.6</v>
      </c>
      <c r="N221" s="2">
        <v>198</v>
      </c>
      <c r="P221" s="2">
        <v>726.2</v>
      </c>
      <c r="Q221" s="13">
        <f t="shared" si="9"/>
        <v>0.38249236279363746</v>
      </c>
      <c r="R221" s="14">
        <f t="shared" si="10"/>
        <v>2624.8</v>
      </c>
      <c r="S221" s="15">
        <f t="shared" si="11"/>
        <v>3097.2640000000001</v>
      </c>
    </row>
    <row r="222" spans="1:19" x14ac:dyDescent="0.3">
      <c r="A222">
        <v>200010076</v>
      </c>
      <c r="B222">
        <v>273715040</v>
      </c>
      <c r="C222" s="11">
        <v>46230</v>
      </c>
      <c r="D222" s="1">
        <v>874257294957</v>
      </c>
      <c r="E222">
        <v>41947</v>
      </c>
      <c r="F222" t="s">
        <v>25</v>
      </c>
      <c r="G222" s="12">
        <v>2</v>
      </c>
      <c r="H222">
        <v>42</v>
      </c>
      <c r="I222">
        <v>16</v>
      </c>
      <c r="J222">
        <v>14</v>
      </c>
      <c r="K222" s="12">
        <v>2</v>
      </c>
      <c r="L222" t="s">
        <v>20</v>
      </c>
      <c r="M222" s="2">
        <v>1512.5</v>
      </c>
      <c r="N222" s="2">
        <v>132</v>
      </c>
      <c r="P222" s="2">
        <v>629</v>
      </c>
      <c r="Q222" s="13">
        <f t="shared" si="9"/>
        <v>0.38248707813925203</v>
      </c>
      <c r="R222" s="14">
        <f t="shared" si="10"/>
        <v>2273.5</v>
      </c>
      <c r="S222" s="15">
        <f t="shared" si="11"/>
        <v>2682.73</v>
      </c>
    </row>
    <row r="223" spans="1:19" x14ac:dyDescent="0.3">
      <c r="A223">
        <v>200010076</v>
      </c>
      <c r="B223">
        <v>273715040</v>
      </c>
      <c r="C223" s="11">
        <v>46230</v>
      </c>
      <c r="D223" s="1">
        <v>874257295037</v>
      </c>
      <c r="E223">
        <v>41040</v>
      </c>
      <c r="F223" t="s">
        <v>25</v>
      </c>
      <c r="G223" s="12">
        <v>4</v>
      </c>
      <c r="H223">
        <v>62</v>
      </c>
      <c r="I223">
        <v>19</v>
      </c>
      <c r="J223">
        <v>19</v>
      </c>
      <c r="K223" s="12">
        <v>4</v>
      </c>
      <c r="L223" t="s">
        <v>20</v>
      </c>
      <c r="M223" s="2">
        <v>1966.1</v>
      </c>
      <c r="N223" s="2">
        <v>264</v>
      </c>
      <c r="P223" s="2">
        <v>853</v>
      </c>
      <c r="Q223" s="13">
        <f t="shared" si="9"/>
        <v>0.38249405856239632</v>
      </c>
      <c r="R223" s="14">
        <f t="shared" si="10"/>
        <v>3083.1</v>
      </c>
      <c r="S223" s="15">
        <f t="shared" si="11"/>
        <v>3638.0579999999995</v>
      </c>
    </row>
    <row r="224" spans="1:19" x14ac:dyDescent="0.3">
      <c r="A224">
        <v>200010076</v>
      </c>
      <c r="B224">
        <v>273715040</v>
      </c>
      <c r="C224" s="11">
        <v>46230</v>
      </c>
      <c r="D224" s="1">
        <v>874257296044</v>
      </c>
      <c r="E224">
        <v>41154</v>
      </c>
      <c r="F224" t="s">
        <v>25</v>
      </c>
      <c r="G224" s="12">
        <v>5</v>
      </c>
      <c r="H224">
        <v>69</v>
      </c>
      <c r="I224">
        <v>29</v>
      </c>
      <c r="J224">
        <v>20</v>
      </c>
      <c r="K224" s="12">
        <v>6.7</v>
      </c>
      <c r="L224" t="s">
        <v>20</v>
      </c>
      <c r="M224" s="2">
        <v>2839.2</v>
      </c>
      <c r="N224" s="2">
        <v>462</v>
      </c>
      <c r="P224" s="2">
        <v>1262.7</v>
      </c>
      <c r="Q224" s="13">
        <f t="shared" si="9"/>
        <v>0.38249727371864778</v>
      </c>
      <c r="R224" s="14">
        <f t="shared" si="10"/>
        <v>4563.8999999999996</v>
      </c>
      <c r="S224" s="15">
        <f t="shared" si="11"/>
        <v>5385.4019999999991</v>
      </c>
    </row>
    <row r="225" spans="1:19" x14ac:dyDescent="0.3">
      <c r="A225">
        <v>200010076</v>
      </c>
      <c r="B225">
        <v>273715040</v>
      </c>
      <c r="C225" s="11">
        <v>46230</v>
      </c>
      <c r="D225" s="1">
        <v>874257297350</v>
      </c>
      <c r="E225">
        <v>41973</v>
      </c>
      <c r="F225" t="s">
        <v>25</v>
      </c>
      <c r="G225" s="12">
        <v>4</v>
      </c>
      <c r="H225">
        <v>46</v>
      </c>
      <c r="I225">
        <v>23</v>
      </c>
      <c r="J225">
        <v>20</v>
      </c>
      <c r="K225" s="12">
        <v>4</v>
      </c>
      <c r="L225" t="s">
        <v>20</v>
      </c>
      <c r="M225" s="2">
        <v>1966.1</v>
      </c>
      <c r="N225" s="2">
        <v>264</v>
      </c>
      <c r="P225" s="2">
        <v>853</v>
      </c>
      <c r="Q225" s="13">
        <f t="shared" si="9"/>
        <v>0.38249405856239632</v>
      </c>
      <c r="R225" s="14">
        <f t="shared" si="10"/>
        <v>3083.1</v>
      </c>
      <c r="S225" s="15">
        <f t="shared" si="11"/>
        <v>3638.0579999999995</v>
      </c>
    </row>
    <row r="226" spans="1:19" x14ac:dyDescent="0.3">
      <c r="A226">
        <v>200010076</v>
      </c>
      <c r="B226">
        <v>273715040</v>
      </c>
      <c r="C226" s="11">
        <v>46230</v>
      </c>
      <c r="D226" s="1">
        <v>874257298356</v>
      </c>
      <c r="E226">
        <v>41291</v>
      </c>
      <c r="F226" t="s">
        <v>25</v>
      </c>
      <c r="G226" s="12">
        <v>3.5</v>
      </c>
      <c r="H226">
        <v>46</v>
      </c>
      <c r="I226">
        <v>20</v>
      </c>
      <c r="J226">
        <v>19</v>
      </c>
      <c r="K226" s="12">
        <v>3.5</v>
      </c>
      <c r="L226" t="s">
        <v>20</v>
      </c>
      <c r="M226" s="2">
        <v>1833.3</v>
      </c>
      <c r="N226" s="2">
        <v>231</v>
      </c>
      <c r="P226" s="2">
        <v>789.6</v>
      </c>
      <c r="Q226" s="13">
        <f t="shared" si="9"/>
        <v>0.38250254323499489</v>
      </c>
      <c r="R226" s="14">
        <f t="shared" si="10"/>
        <v>2853.9</v>
      </c>
      <c r="S226" s="15">
        <f t="shared" si="11"/>
        <v>3367.6019999999999</v>
      </c>
    </row>
    <row r="227" spans="1:19" x14ac:dyDescent="0.3">
      <c r="A227">
        <v>200010076</v>
      </c>
      <c r="B227">
        <v>273715040</v>
      </c>
      <c r="C227" s="11">
        <v>46230</v>
      </c>
      <c r="D227" s="1">
        <v>874257298507</v>
      </c>
      <c r="E227">
        <v>41025</v>
      </c>
      <c r="F227" t="s">
        <v>25</v>
      </c>
      <c r="G227" s="12">
        <v>6</v>
      </c>
      <c r="H227">
        <v>47</v>
      </c>
      <c r="I227">
        <v>23</v>
      </c>
      <c r="J227">
        <v>21</v>
      </c>
      <c r="K227" s="12">
        <v>6</v>
      </c>
      <c r="L227" t="s">
        <v>20</v>
      </c>
      <c r="M227" s="2">
        <v>2609.1</v>
      </c>
      <c r="N227" s="2">
        <v>396</v>
      </c>
      <c r="P227" s="2">
        <v>1149.5</v>
      </c>
      <c r="Q227" s="13">
        <f t="shared" si="9"/>
        <v>0.38251638880569699</v>
      </c>
      <c r="R227" s="14">
        <f t="shared" si="10"/>
        <v>4154.6000000000004</v>
      </c>
      <c r="S227" s="15">
        <f t="shared" si="11"/>
        <v>4902.4279999999999</v>
      </c>
    </row>
    <row r="228" spans="1:19" x14ac:dyDescent="0.3">
      <c r="A228">
        <v>200010076</v>
      </c>
      <c r="B228">
        <v>273715040</v>
      </c>
      <c r="C228" s="11">
        <v>46230</v>
      </c>
      <c r="D228" s="1">
        <v>874257298746</v>
      </c>
      <c r="E228">
        <v>39908</v>
      </c>
      <c r="F228" t="s">
        <v>25</v>
      </c>
      <c r="G228" s="12">
        <v>2</v>
      </c>
      <c r="H228">
        <v>53</v>
      </c>
      <c r="I228">
        <v>14</v>
      </c>
      <c r="J228">
        <v>12</v>
      </c>
      <c r="K228" s="12">
        <v>2</v>
      </c>
      <c r="L228" t="s">
        <v>20</v>
      </c>
      <c r="M228" s="2">
        <v>1512.5</v>
      </c>
      <c r="N228" s="2">
        <v>132</v>
      </c>
      <c r="P228" s="2">
        <v>629</v>
      </c>
      <c r="Q228" s="13">
        <f t="shared" si="9"/>
        <v>0.38248707813925203</v>
      </c>
      <c r="R228" s="14">
        <f t="shared" si="10"/>
        <v>2273.5</v>
      </c>
      <c r="S228" s="15">
        <f t="shared" si="11"/>
        <v>2682.73</v>
      </c>
    </row>
    <row r="229" spans="1:19" x14ac:dyDescent="0.3">
      <c r="A229">
        <v>200010076</v>
      </c>
      <c r="B229">
        <v>273715040</v>
      </c>
      <c r="C229" s="11">
        <v>46230</v>
      </c>
      <c r="D229" s="1">
        <v>874257299102</v>
      </c>
      <c r="E229">
        <v>4085109809</v>
      </c>
      <c r="F229" t="s">
        <v>25</v>
      </c>
      <c r="G229" s="12">
        <v>8.5</v>
      </c>
      <c r="H229">
        <v>55</v>
      </c>
      <c r="I229">
        <v>12</v>
      </c>
      <c r="J229">
        <v>11</v>
      </c>
      <c r="K229" s="12">
        <v>8.5</v>
      </c>
      <c r="L229" t="s">
        <v>20</v>
      </c>
      <c r="M229" s="2">
        <v>3184.4</v>
      </c>
      <c r="N229" s="2">
        <v>561</v>
      </c>
      <c r="P229" s="2">
        <v>1432.6</v>
      </c>
      <c r="Q229" s="13">
        <f t="shared" si="9"/>
        <v>0.38249586159021731</v>
      </c>
      <c r="R229" s="14">
        <f t="shared" si="10"/>
        <v>5178</v>
      </c>
      <c r="S229" s="15">
        <f t="shared" si="11"/>
        <v>6110.04</v>
      </c>
    </row>
    <row r="230" spans="1:19" x14ac:dyDescent="0.3">
      <c r="A230">
        <v>200010076</v>
      </c>
      <c r="B230">
        <v>273715040</v>
      </c>
      <c r="C230" s="11">
        <v>46230</v>
      </c>
      <c r="D230" s="1">
        <v>874257299672</v>
      </c>
      <c r="E230">
        <v>41256</v>
      </c>
      <c r="F230" t="s">
        <v>25</v>
      </c>
      <c r="G230" s="12">
        <v>5</v>
      </c>
      <c r="H230">
        <v>43</v>
      </c>
      <c r="I230">
        <v>25</v>
      </c>
      <c r="J230">
        <v>25</v>
      </c>
      <c r="K230" s="12">
        <v>5</v>
      </c>
      <c r="L230" t="s">
        <v>20</v>
      </c>
      <c r="M230" s="2">
        <v>2231.6999999999998</v>
      </c>
      <c r="N230" s="2">
        <v>330</v>
      </c>
      <c r="P230" s="2">
        <v>979.9</v>
      </c>
      <c r="Q230" s="13">
        <f t="shared" si="9"/>
        <v>0.3825194206971933</v>
      </c>
      <c r="R230" s="14">
        <f t="shared" si="10"/>
        <v>3541.6</v>
      </c>
      <c r="S230" s="15">
        <f t="shared" si="11"/>
        <v>4179.0879999999997</v>
      </c>
    </row>
    <row r="231" spans="1:19" x14ac:dyDescent="0.3">
      <c r="A231">
        <v>200010076</v>
      </c>
      <c r="B231">
        <v>273715040</v>
      </c>
      <c r="C231" s="11">
        <v>46230</v>
      </c>
      <c r="D231" s="1">
        <v>874257299775</v>
      </c>
      <c r="E231">
        <v>40385</v>
      </c>
      <c r="F231" t="s">
        <v>25</v>
      </c>
      <c r="G231" s="12">
        <v>4.5</v>
      </c>
      <c r="H231">
        <v>54</v>
      </c>
      <c r="I231">
        <v>21</v>
      </c>
      <c r="J231">
        <v>21</v>
      </c>
      <c r="K231" s="12">
        <v>4.5</v>
      </c>
      <c r="L231" t="s">
        <v>20</v>
      </c>
      <c r="M231" s="2">
        <v>2098.9</v>
      </c>
      <c r="N231" s="2">
        <v>297</v>
      </c>
      <c r="P231" s="2">
        <v>916.4</v>
      </c>
      <c r="Q231" s="13">
        <f t="shared" si="9"/>
        <v>0.3824867481948328</v>
      </c>
      <c r="R231" s="14">
        <f t="shared" si="10"/>
        <v>3312.3</v>
      </c>
      <c r="S231" s="15">
        <f t="shared" si="11"/>
        <v>3908.5140000000001</v>
      </c>
    </row>
    <row r="232" spans="1:19" x14ac:dyDescent="0.3">
      <c r="A232">
        <v>200010076</v>
      </c>
      <c r="B232">
        <v>273715040</v>
      </c>
      <c r="C232" s="11">
        <v>46230</v>
      </c>
      <c r="D232" s="1">
        <v>874257300051</v>
      </c>
      <c r="E232">
        <v>41492</v>
      </c>
      <c r="F232" t="s">
        <v>25</v>
      </c>
      <c r="G232" s="12">
        <v>6</v>
      </c>
      <c r="H232">
        <v>48</v>
      </c>
      <c r="I232">
        <v>26</v>
      </c>
      <c r="J232">
        <v>26</v>
      </c>
      <c r="K232" s="12">
        <v>6</v>
      </c>
      <c r="L232" t="s">
        <v>20</v>
      </c>
      <c r="M232" s="2">
        <v>2609.1</v>
      </c>
      <c r="N232" s="2">
        <v>396</v>
      </c>
      <c r="P232" s="2">
        <v>1149.5</v>
      </c>
      <c r="Q232" s="13">
        <f t="shared" si="9"/>
        <v>0.38251638880569699</v>
      </c>
      <c r="R232" s="14">
        <f t="shared" si="10"/>
        <v>4154.6000000000004</v>
      </c>
      <c r="S232" s="15">
        <f t="shared" si="11"/>
        <v>4902.4279999999999</v>
      </c>
    </row>
    <row r="233" spans="1:19" x14ac:dyDescent="0.3">
      <c r="A233">
        <v>200010076</v>
      </c>
      <c r="B233">
        <v>273715040</v>
      </c>
      <c r="C233" s="11">
        <v>46230</v>
      </c>
      <c r="D233" s="1">
        <v>874257300820</v>
      </c>
      <c r="E233">
        <v>40777</v>
      </c>
      <c r="F233" t="s">
        <v>25</v>
      </c>
      <c r="G233" s="12">
        <v>5.5</v>
      </c>
      <c r="H233">
        <v>59</v>
      </c>
      <c r="I233">
        <v>23</v>
      </c>
      <c r="J233">
        <v>22</v>
      </c>
      <c r="K233" s="12">
        <v>5.5</v>
      </c>
      <c r="L233" t="s">
        <v>20</v>
      </c>
      <c r="M233" s="2">
        <v>2494</v>
      </c>
      <c r="N233" s="2">
        <v>363</v>
      </c>
      <c r="P233" s="2">
        <v>1092.8</v>
      </c>
      <c r="Q233" s="13">
        <f t="shared" si="9"/>
        <v>0.38249912495624777</v>
      </c>
      <c r="R233" s="14">
        <f t="shared" si="10"/>
        <v>3949.8</v>
      </c>
      <c r="S233" s="15">
        <f t="shared" si="11"/>
        <v>4660.7640000000001</v>
      </c>
    </row>
    <row r="234" spans="1:19" x14ac:dyDescent="0.3">
      <c r="A234">
        <v>200010076</v>
      </c>
      <c r="B234">
        <v>273715040</v>
      </c>
      <c r="C234" s="11">
        <v>46230</v>
      </c>
      <c r="D234" s="1">
        <v>874257301106</v>
      </c>
      <c r="E234">
        <v>42013</v>
      </c>
      <c r="F234" t="s">
        <v>25</v>
      </c>
      <c r="G234" s="12">
        <v>6.5</v>
      </c>
      <c r="H234">
        <v>56</v>
      </c>
      <c r="I234">
        <v>26</v>
      </c>
      <c r="J234">
        <v>25</v>
      </c>
      <c r="K234" s="12">
        <v>6.5</v>
      </c>
      <c r="L234" t="s">
        <v>20</v>
      </c>
      <c r="M234" s="2">
        <v>2724.1</v>
      </c>
      <c r="N234" s="2">
        <v>429</v>
      </c>
      <c r="P234" s="2">
        <v>1206.0999999999999</v>
      </c>
      <c r="Q234" s="13">
        <f t="shared" si="9"/>
        <v>0.3825124480669817</v>
      </c>
      <c r="R234" s="14">
        <f t="shared" si="10"/>
        <v>4359.2</v>
      </c>
      <c r="S234" s="15">
        <f t="shared" si="11"/>
        <v>5143.8559999999998</v>
      </c>
    </row>
    <row r="235" spans="1:19" x14ac:dyDescent="0.3">
      <c r="A235">
        <v>200010076</v>
      </c>
      <c r="B235">
        <v>273715040</v>
      </c>
      <c r="C235" s="11">
        <v>46230</v>
      </c>
      <c r="D235" s="1">
        <v>874257302352</v>
      </c>
      <c r="E235">
        <v>7871426</v>
      </c>
      <c r="F235" t="s">
        <v>25</v>
      </c>
      <c r="G235" s="12">
        <v>6</v>
      </c>
      <c r="H235">
        <v>44</v>
      </c>
      <c r="I235">
        <v>35</v>
      </c>
      <c r="J235">
        <v>18</v>
      </c>
      <c r="K235" s="12">
        <v>6</v>
      </c>
      <c r="L235" t="s">
        <v>20</v>
      </c>
      <c r="M235" s="2">
        <v>2609.1</v>
      </c>
      <c r="N235" s="2">
        <v>396</v>
      </c>
      <c r="P235" s="2">
        <v>1149.5</v>
      </c>
      <c r="Q235" s="13">
        <f t="shared" si="9"/>
        <v>0.38251638880569699</v>
      </c>
      <c r="R235" s="14">
        <f t="shared" si="10"/>
        <v>4154.6000000000004</v>
      </c>
      <c r="S235" s="15">
        <f t="shared" si="11"/>
        <v>4902.4279999999999</v>
      </c>
    </row>
    <row r="236" spans="1:19" x14ac:dyDescent="0.3">
      <c r="A236">
        <v>200010076</v>
      </c>
      <c r="B236">
        <v>273715040</v>
      </c>
      <c r="C236" s="11">
        <v>46230</v>
      </c>
      <c r="D236" s="1">
        <v>874257303072</v>
      </c>
      <c r="E236">
        <v>41573</v>
      </c>
      <c r="F236" t="s">
        <v>25</v>
      </c>
      <c r="G236" s="12">
        <v>1.5</v>
      </c>
      <c r="H236">
        <v>42</v>
      </c>
      <c r="I236">
        <v>15</v>
      </c>
      <c r="J236">
        <v>12</v>
      </c>
      <c r="K236" s="12">
        <v>1.5</v>
      </c>
      <c r="L236" t="s">
        <v>20</v>
      </c>
      <c r="M236" s="2">
        <v>1353.7</v>
      </c>
      <c r="N236" s="2">
        <v>99</v>
      </c>
      <c r="P236" s="2">
        <v>555.70000000000005</v>
      </c>
      <c r="Q236" s="13">
        <f t="shared" si="9"/>
        <v>0.38252908377503958</v>
      </c>
      <c r="R236" s="14">
        <f t="shared" si="10"/>
        <v>2008.4</v>
      </c>
      <c r="S236" s="15">
        <f t="shared" si="11"/>
        <v>2369.9119999999998</v>
      </c>
    </row>
    <row r="237" spans="1:19" x14ac:dyDescent="0.3">
      <c r="A237">
        <v>200010076</v>
      </c>
      <c r="B237">
        <v>273715040</v>
      </c>
      <c r="C237" s="11">
        <v>46230</v>
      </c>
      <c r="D237" s="1">
        <v>874257303289</v>
      </c>
      <c r="E237">
        <v>41126</v>
      </c>
      <c r="F237" t="s">
        <v>25</v>
      </c>
      <c r="G237" s="12">
        <v>2</v>
      </c>
      <c r="H237">
        <v>48</v>
      </c>
      <c r="I237">
        <v>14</v>
      </c>
      <c r="J237">
        <v>13</v>
      </c>
      <c r="K237" s="12">
        <v>2</v>
      </c>
      <c r="L237" t="s">
        <v>20</v>
      </c>
      <c r="M237" s="2">
        <v>1512.5</v>
      </c>
      <c r="N237" s="2">
        <v>132</v>
      </c>
      <c r="P237" s="2">
        <v>629</v>
      </c>
      <c r="Q237" s="13">
        <f t="shared" si="9"/>
        <v>0.38248707813925203</v>
      </c>
      <c r="R237" s="14">
        <f t="shared" si="10"/>
        <v>2273.5</v>
      </c>
      <c r="S237" s="15">
        <f t="shared" si="11"/>
        <v>2682.73</v>
      </c>
    </row>
    <row r="238" spans="1:19" x14ac:dyDescent="0.3">
      <c r="A238">
        <v>200010076</v>
      </c>
      <c r="B238">
        <v>273715040</v>
      </c>
      <c r="C238" s="11">
        <v>46230</v>
      </c>
      <c r="D238" s="1">
        <v>874257305785</v>
      </c>
      <c r="E238">
        <v>42025</v>
      </c>
      <c r="F238" t="s">
        <v>25</v>
      </c>
      <c r="G238" s="12">
        <v>2</v>
      </c>
      <c r="H238">
        <v>61</v>
      </c>
      <c r="I238">
        <v>18</v>
      </c>
      <c r="J238">
        <v>15</v>
      </c>
      <c r="K238" s="12">
        <v>2.8</v>
      </c>
      <c r="L238" t="s">
        <v>20</v>
      </c>
      <c r="M238" s="2">
        <v>1700.6</v>
      </c>
      <c r="N238" s="2">
        <v>198</v>
      </c>
      <c r="P238" s="2">
        <v>726.2</v>
      </c>
      <c r="Q238" s="13">
        <f t="shared" si="9"/>
        <v>0.38249236279363746</v>
      </c>
      <c r="R238" s="14">
        <f t="shared" si="10"/>
        <v>2624.8</v>
      </c>
      <c r="S238" s="15">
        <f t="shared" si="11"/>
        <v>3097.2640000000001</v>
      </c>
    </row>
    <row r="239" spans="1:19" x14ac:dyDescent="0.3">
      <c r="A239">
        <v>200010076</v>
      </c>
      <c r="B239">
        <v>273715040</v>
      </c>
      <c r="C239" s="11">
        <v>46230</v>
      </c>
      <c r="D239" s="1">
        <v>874257305877</v>
      </c>
      <c r="E239">
        <v>40908</v>
      </c>
      <c r="F239" t="s">
        <v>25</v>
      </c>
      <c r="G239" s="12">
        <v>4.5</v>
      </c>
      <c r="H239">
        <v>57</v>
      </c>
      <c r="I239">
        <v>21</v>
      </c>
      <c r="J239">
        <v>19</v>
      </c>
      <c r="K239" s="12">
        <v>4.5</v>
      </c>
      <c r="L239" t="s">
        <v>20</v>
      </c>
      <c r="M239" s="2">
        <v>2098.9</v>
      </c>
      <c r="N239" s="2">
        <v>297</v>
      </c>
      <c r="P239" s="2">
        <v>916.4</v>
      </c>
      <c r="Q239" s="13">
        <f t="shared" si="9"/>
        <v>0.3824867481948328</v>
      </c>
      <c r="R239" s="14">
        <f t="shared" si="10"/>
        <v>3312.3</v>
      </c>
      <c r="S239" s="15">
        <f t="shared" si="11"/>
        <v>3908.5140000000001</v>
      </c>
    </row>
    <row r="240" spans="1:19" x14ac:dyDescent="0.3">
      <c r="A240">
        <v>200010076</v>
      </c>
      <c r="B240">
        <v>273715040</v>
      </c>
      <c r="C240" s="11">
        <v>46230</v>
      </c>
      <c r="D240" s="1">
        <v>874257306450</v>
      </c>
      <c r="E240">
        <v>39865</v>
      </c>
      <c r="F240" t="s">
        <v>25</v>
      </c>
      <c r="G240" s="12">
        <v>16</v>
      </c>
      <c r="H240">
        <v>89</v>
      </c>
      <c r="I240">
        <v>33</v>
      </c>
      <c r="J240">
        <v>32</v>
      </c>
      <c r="K240" s="12">
        <v>16</v>
      </c>
      <c r="L240" t="s">
        <v>20</v>
      </c>
      <c r="M240" s="2">
        <v>6452.6</v>
      </c>
      <c r="N240" s="2">
        <v>1056</v>
      </c>
      <c r="P240" s="2">
        <v>2872</v>
      </c>
      <c r="Q240" s="13">
        <f t="shared" si="9"/>
        <v>0.38249473936552753</v>
      </c>
      <c r="R240" s="14">
        <f t="shared" si="10"/>
        <v>10380.6</v>
      </c>
      <c r="S240" s="15">
        <f t="shared" si="11"/>
        <v>12249.108</v>
      </c>
    </row>
    <row r="241" spans="1:19" x14ac:dyDescent="0.3">
      <c r="A241">
        <v>200010076</v>
      </c>
      <c r="B241">
        <v>273715040</v>
      </c>
      <c r="C241" s="11">
        <v>46230</v>
      </c>
      <c r="D241" s="1">
        <v>874257307023</v>
      </c>
      <c r="E241">
        <v>40170</v>
      </c>
      <c r="F241" t="s">
        <v>25</v>
      </c>
      <c r="G241" s="12">
        <v>3</v>
      </c>
      <c r="H241">
        <v>45</v>
      </c>
      <c r="I241">
        <v>20</v>
      </c>
      <c r="J241">
        <v>19</v>
      </c>
      <c r="K241" s="12">
        <v>3</v>
      </c>
      <c r="L241" t="s">
        <v>20</v>
      </c>
      <c r="M241" s="2">
        <v>1700.6</v>
      </c>
      <c r="N241" s="2">
        <v>198</v>
      </c>
      <c r="P241" s="2">
        <v>726.2</v>
      </c>
      <c r="Q241" s="13">
        <f t="shared" si="9"/>
        <v>0.38249236279363746</v>
      </c>
      <c r="R241" s="14">
        <f t="shared" si="10"/>
        <v>2624.8</v>
      </c>
      <c r="S241" s="15">
        <f t="shared" si="11"/>
        <v>3097.2640000000001</v>
      </c>
    </row>
    <row r="242" spans="1:19" x14ac:dyDescent="0.3">
      <c r="A242">
        <v>200010076</v>
      </c>
      <c r="B242">
        <v>273715040</v>
      </c>
      <c r="C242" s="11">
        <v>46230</v>
      </c>
      <c r="D242" s="1">
        <v>874257308236</v>
      </c>
      <c r="E242">
        <v>41177</v>
      </c>
      <c r="F242" t="s">
        <v>25</v>
      </c>
      <c r="G242" s="12">
        <v>5.5</v>
      </c>
      <c r="H242">
        <v>59</v>
      </c>
      <c r="I242">
        <v>23</v>
      </c>
      <c r="J242">
        <v>23</v>
      </c>
      <c r="K242" s="12">
        <v>5.5</v>
      </c>
      <c r="L242" t="s">
        <v>20</v>
      </c>
      <c r="M242" s="2">
        <v>2494</v>
      </c>
      <c r="N242" s="2">
        <v>363</v>
      </c>
      <c r="P242" s="2">
        <v>1092.8</v>
      </c>
      <c r="Q242" s="13">
        <f t="shared" si="9"/>
        <v>0.38249912495624777</v>
      </c>
      <c r="R242" s="14">
        <f t="shared" si="10"/>
        <v>3949.8</v>
      </c>
      <c r="S242" s="15">
        <f t="shared" si="11"/>
        <v>4660.7640000000001</v>
      </c>
    </row>
    <row r="243" spans="1:19" x14ac:dyDescent="0.3">
      <c r="A243">
        <v>200010076</v>
      </c>
      <c r="B243">
        <v>273715040</v>
      </c>
      <c r="C243" s="11">
        <v>46230</v>
      </c>
      <c r="D243" s="1">
        <v>874257308637</v>
      </c>
      <c r="E243">
        <v>4087011224</v>
      </c>
      <c r="F243" t="s">
        <v>25</v>
      </c>
      <c r="G243" s="12">
        <v>5.5</v>
      </c>
      <c r="H243">
        <v>55</v>
      </c>
      <c r="I243">
        <v>25</v>
      </c>
      <c r="J243">
        <v>23</v>
      </c>
      <c r="K243" s="12">
        <v>5.5</v>
      </c>
      <c r="L243" t="s">
        <v>20</v>
      </c>
      <c r="M243" s="2">
        <v>2494</v>
      </c>
      <c r="N243" s="2">
        <v>363</v>
      </c>
      <c r="P243" s="2">
        <v>1092.8</v>
      </c>
      <c r="Q243" s="13">
        <f t="shared" si="9"/>
        <v>0.38249912495624777</v>
      </c>
      <c r="R243" s="14">
        <f t="shared" si="10"/>
        <v>3949.8</v>
      </c>
      <c r="S243" s="15">
        <f t="shared" si="11"/>
        <v>4660.7640000000001</v>
      </c>
    </row>
    <row r="244" spans="1:19" x14ac:dyDescent="0.3">
      <c r="A244">
        <v>200010076</v>
      </c>
      <c r="B244">
        <v>273715040</v>
      </c>
      <c r="C244" s="11">
        <v>46230</v>
      </c>
      <c r="D244" s="1">
        <v>874257310052</v>
      </c>
      <c r="E244">
        <v>41151</v>
      </c>
      <c r="F244" t="s">
        <v>25</v>
      </c>
      <c r="G244" s="12">
        <v>3</v>
      </c>
      <c r="H244">
        <v>46</v>
      </c>
      <c r="I244">
        <v>20</v>
      </c>
      <c r="J244">
        <v>18</v>
      </c>
      <c r="K244" s="12">
        <v>3</v>
      </c>
      <c r="L244" t="s">
        <v>20</v>
      </c>
      <c r="M244" s="2">
        <v>1700.6</v>
      </c>
      <c r="N244" s="2">
        <v>198</v>
      </c>
      <c r="P244" s="2">
        <v>726.2</v>
      </c>
      <c r="Q244" s="13">
        <f t="shared" si="9"/>
        <v>0.38249236279363746</v>
      </c>
      <c r="R244" s="14">
        <f t="shared" si="10"/>
        <v>2624.8</v>
      </c>
      <c r="S244" s="15">
        <f t="shared" si="11"/>
        <v>3097.2640000000001</v>
      </c>
    </row>
    <row r="245" spans="1:19" x14ac:dyDescent="0.3">
      <c r="A245">
        <v>200010076</v>
      </c>
      <c r="B245">
        <v>273715040</v>
      </c>
      <c r="C245" s="11">
        <v>46230</v>
      </c>
      <c r="D245" s="1">
        <v>874257310637</v>
      </c>
      <c r="E245">
        <v>39067</v>
      </c>
      <c r="F245" t="s">
        <v>25</v>
      </c>
      <c r="G245" s="12">
        <v>8.5</v>
      </c>
      <c r="H245">
        <v>58</v>
      </c>
      <c r="I245">
        <v>29</v>
      </c>
      <c r="J245">
        <v>20</v>
      </c>
      <c r="K245" s="12">
        <v>8.5</v>
      </c>
      <c r="L245" t="s">
        <v>20</v>
      </c>
      <c r="M245" s="2">
        <v>3184.4</v>
      </c>
      <c r="N245" s="2">
        <v>561</v>
      </c>
      <c r="P245" s="2">
        <v>1432.6</v>
      </c>
      <c r="Q245" s="13">
        <f t="shared" si="9"/>
        <v>0.38249586159021731</v>
      </c>
      <c r="R245" s="14">
        <f t="shared" si="10"/>
        <v>5178</v>
      </c>
      <c r="S245" s="15">
        <f t="shared" si="11"/>
        <v>6110.04</v>
      </c>
    </row>
    <row r="246" spans="1:19" x14ac:dyDescent="0.3">
      <c r="A246">
        <v>200010076</v>
      </c>
      <c r="B246">
        <v>273715040</v>
      </c>
      <c r="C246" s="11">
        <v>46230</v>
      </c>
      <c r="D246" s="1">
        <v>874257311302</v>
      </c>
      <c r="E246" t="s">
        <v>26</v>
      </c>
      <c r="F246" t="s">
        <v>25</v>
      </c>
      <c r="G246" s="12">
        <v>8.5</v>
      </c>
      <c r="H246">
        <v>71</v>
      </c>
      <c r="I246">
        <v>27</v>
      </c>
      <c r="J246">
        <v>25</v>
      </c>
      <c r="K246" s="12">
        <v>8.5</v>
      </c>
      <c r="L246" t="s">
        <v>20</v>
      </c>
      <c r="M246" s="2">
        <v>3184.4</v>
      </c>
      <c r="N246" s="2">
        <v>561</v>
      </c>
      <c r="P246" s="2">
        <v>1432.6</v>
      </c>
      <c r="Q246" s="13">
        <f t="shared" si="9"/>
        <v>0.38249586159021731</v>
      </c>
      <c r="R246" s="14">
        <f t="shared" si="10"/>
        <v>5178</v>
      </c>
      <c r="S246" s="15">
        <f t="shared" si="11"/>
        <v>6110.04</v>
      </c>
    </row>
    <row r="247" spans="1:19" x14ac:dyDescent="0.3">
      <c r="A247">
        <v>200010076</v>
      </c>
      <c r="B247">
        <v>273715040</v>
      </c>
      <c r="C247" s="11">
        <v>46230</v>
      </c>
      <c r="D247" s="1">
        <v>874257311379</v>
      </c>
      <c r="E247">
        <v>41600</v>
      </c>
      <c r="F247" t="s">
        <v>25</v>
      </c>
      <c r="G247" s="12">
        <v>8</v>
      </c>
      <c r="H247">
        <v>63</v>
      </c>
      <c r="I247">
        <v>27</v>
      </c>
      <c r="J247">
        <v>27</v>
      </c>
      <c r="K247" s="12">
        <v>8</v>
      </c>
      <c r="L247" t="s">
        <v>20</v>
      </c>
      <c r="M247" s="2">
        <v>3069.3</v>
      </c>
      <c r="N247" s="2">
        <v>528</v>
      </c>
      <c r="P247" s="2">
        <v>1376</v>
      </c>
      <c r="Q247" s="13">
        <f t="shared" si="9"/>
        <v>0.3825091040502599</v>
      </c>
      <c r="R247" s="14">
        <f t="shared" si="10"/>
        <v>4973.3</v>
      </c>
      <c r="S247" s="15">
        <f t="shared" si="11"/>
        <v>5868.4939999999997</v>
      </c>
    </row>
    <row r="248" spans="1:19" x14ac:dyDescent="0.3">
      <c r="A248">
        <v>200010076</v>
      </c>
      <c r="B248">
        <v>273715040</v>
      </c>
      <c r="C248" s="11">
        <v>46230</v>
      </c>
      <c r="D248" s="1">
        <v>874257312022</v>
      </c>
      <c r="E248">
        <v>4081442332</v>
      </c>
      <c r="F248" t="s">
        <v>25</v>
      </c>
      <c r="G248" s="12">
        <v>10.5</v>
      </c>
      <c r="H248">
        <v>98</v>
      </c>
      <c r="I248">
        <v>26</v>
      </c>
      <c r="J248">
        <v>24</v>
      </c>
      <c r="K248" s="12">
        <v>10.5</v>
      </c>
      <c r="L248" t="s">
        <v>20</v>
      </c>
      <c r="M248" s="2">
        <v>4575.1000000000004</v>
      </c>
      <c r="N248" s="2">
        <v>693</v>
      </c>
      <c r="P248" s="2">
        <v>2015.1</v>
      </c>
      <c r="Q248" s="13">
        <f t="shared" si="9"/>
        <v>0.38250982327594385</v>
      </c>
      <c r="R248" s="14">
        <f t="shared" si="10"/>
        <v>7283.2000000000007</v>
      </c>
      <c r="S248" s="15">
        <f t="shared" si="11"/>
        <v>8594.1760000000013</v>
      </c>
    </row>
    <row r="249" spans="1:19" x14ac:dyDescent="0.3">
      <c r="A249">
        <v>200010076</v>
      </c>
      <c r="B249">
        <v>273715040</v>
      </c>
      <c r="C249" s="11">
        <v>46230</v>
      </c>
      <c r="D249" s="1">
        <v>874257313018</v>
      </c>
      <c r="E249">
        <v>41765</v>
      </c>
      <c r="F249" t="s">
        <v>25</v>
      </c>
      <c r="G249" s="12">
        <v>4</v>
      </c>
      <c r="H249">
        <v>57</v>
      </c>
      <c r="I249">
        <v>21</v>
      </c>
      <c r="J249">
        <v>18</v>
      </c>
      <c r="K249" s="12">
        <v>4</v>
      </c>
      <c r="L249" t="s">
        <v>20</v>
      </c>
      <c r="M249" s="2">
        <v>1966.1</v>
      </c>
      <c r="N249" s="2">
        <v>264</v>
      </c>
      <c r="P249" s="2">
        <v>853</v>
      </c>
      <c r="Q249" s="13">
        <f t="shared" si="9"/>
        <v>0.38249405856239632</v>
      </c>
      <c r="R249" s="14">
        <f t="shared" si="10"/>
        <v>3083.1</v>
      </c>
      <c r="S249" s="15">
        <f t="shared" si="11"/>
        <v>3638.0579999999995</v>
      </c>
    </row>
    <row r="250" spans="1:19" x14ac:dyDescent="0.3">
      <c r="A250">
        <v>200010076</v>
      </c>
      <c r="B250">
        <v>273715040</v>
      </c>
      <c r="C250" s="11">
        <v>46230</v>
      </c>
      <c r="D250" s="1">
        <v>874257314194</v>
      </c>
      <c r="E250">
        <v>4100593573</v>
      </c>
      <c r="F250" t="s">
        <v>25</v>
      </c>
      <c r="G250" s="12">
        <v>7</v>
      </c>
      <c r="H250">
        <v>59</v>
      </c>
      <c r="I250">
        <v>27</v>
      </c>
      <c r="J250">
        <v>25</v>
      </c>
      <c r="K250" s="12">
        <v>7</v>
      </c>
      <c r="L250" t="s">
        <v>20</v>
      </c>
      <c r="M250" s="2">
        <v>2839.2</v>
      </c>
      <c r="N250" s="2">
        <v>462</v>
      </c>
      <c r="P250" s="2">
        <v>1262.7</v>
      </c>
      <c r="Q250" s="13">
        <f t="shared" si="9"/>
        <v>0.38249727371864778</v>
      </c>
      <c r="R250" s="14">
        <f t="shared" si="10"/>
        <v>4563.8999999999996</v>
      </c>
      <c r="S250" s="15">
        <f t="shared" si="11"/>
        <v>5385.4019999999991</v>
      </c>
    </row>
    <row r="251" spans="1:19" x14ac:dyDescent="0.3">
      <c r="A251">
        <v>200010076</v>
      </c>
      <c r="B251">
        <v>273715040</v>
      </c>
      <c r="C251" s="11">
        <v>46230</v>
      </c>
      <c r="D251" s="1">
        <v>874257314595</v>
      </c>
      <c r="E251">
        <v>41605</v>
      </c>
      <c r="F251" t="s">
        <v>25</v>
      </c>
      <c r="G251" s="12">
        <v>8.5</v>
      </c>
      <c r="H251">
        <v>57</v>
      </c>
      <c r="I251">
        <v>30</v>
      </c>
      <c r="J251">
        <v>29</v>
      </c>
      <c r="K251" s="12">
        <v>8.5</v>
      </c>
      <c r="L251" t="s">
        <v>20</v>
      </c>
      <c r="M251" s="2">
        <v>3184.4</v>
      </c>
      <c r="N251" s="2">
        <v>561</v>
      </c>
      <c r="P251" s="2">
        <v>1432.6</v>
      </c>
      <c r="Q251" s="13">
        <f t="shared" si="9"/>
        <v>0.38249586159021731</v>
      </c>
      <c r="R251" s="14">
        <f t="shared" si="10"/>
        <v>5178</v>
      </c>
      <c r="S251" s="15">
        <f t="shared" si="11"/>
        <v>6110.04</v>
      </c>
    </row>
    <row r="252" spans="1:19" x14ac:dyDescent="0.3">
      <c r="A252">
        <v>200010076</v>
      </c>
      <c r="B252">
        <v>273715040</v>
      </c>
      <c r="C252" s="11">
        <v>46230</v>
      </c>
      <c r="D252" s="1">
        <v>874257314643</v>
      </c>
      <c r="E252">
        <v>41828</v>
      </c>
      <c r="F252" t="s">
        <v>25</v>
      </c>
      <c r="G252" s="12">
        <v>5.5</v>
      </c>
      <c r="H252">
        <v>64</v>
      </c>
      <c r="I252">
        <v>22</v>
      </c>
      <c r="J252">
        <v>22</v>
      </c>
      <c r="K252" s="12">
        <v>5.5</v>
      </c>
      <c r="L252" t="s">
        <v>20</v>
      </c>
      <c r="M252" s="2">
        <v>2494</v>
      </c>
      <c r="N252" s="2">
        <v>363</v>
      </c>
      <c r="P252" s="2">
        <v>1092.8</v>
      </c>
      <c r="Q252" s="13">
        <f t="shared" si="9"/>
        <v>0.38249912495624777</v>
      </c>
      <c r="R252" s="14">
        <f t="shared" si="10"/>
        <v>3949.8</v>
      </c>
      <c r="S252" s="15">
        <f t="shared" si="11"/>
        <v>4660.7640000000001</v>
      </c>
    </row>
    <row r="253" spans="1:19" x14ac:dyDescent="0.3">
      <c r="A253">
        <v>200010076</v>
      </c>
      <c r="B253">
        <v>273715040</v>
      </c>
      <c r="C253" s="11">
        <v>46230</v>
      </c>
      <c r="D253" s="1">
        <v>874257315396</v>
      </c>
      <c r="E253">
        <v>40082</v>
      </c>
      <c r="F253" t="s">
        <v>25</v>
      </c>
      <c r="G253" s="12">
        <v>3.5</v>
      </c>
      <c r="H253">
        <v>40</v>
      </c>
      <c r="I253">
        <v>22</v>
      </c>
      <c r="J253">
        <v>21</v>
      </c>
      <c r="K253" s="12">
        <v>3.5</v>
      </c>
      <c r="L253" t="s">
        <v>20</v>
      </c>
      <c r="M253" s="2">
        <v>1833.3</v>
      </c>
      <c r="N253" s="2">
        <v>231</v>
      </c>
      <c r="P253" s="2">
        <v>789.6</v>
      </c>
      <c r="Q253" s="13">
        <f t="shared" si="9"/>
        <v>0.38250254323499489</v>
      </c>
      <c r="R253" s="14">
        <f t="shared" si="10"/>
        <v>2853.9</v>
      </c>
      <c r="S253" s="15">
        <f t="shared" si="11"/>
        <v>3367.6019999999999</v>
      </c>
    </row>
    <row r="254" spans="1:19" x14ac:dyDescent="0.3">
      <c r="A254">
        <v>200010076</v>
      </c>
      <c r="B254">
        <v>273715040</v>
      </c>
      <c r="C254" s="11">
        <v>46230</v>
      </c>
      <c r="D254" s="1">
        <v>874257315890</v>
      </c>
      <c r="E254">
        <v>41292</v>
      </c>
      <c r="F254" t="s">
        <v>25</v>
      </c>
      <c r="G254" s="12">
        <v>6</v>
      </c>
      <c r="H254">
        <v>50</v>
      </c>
      <c r="I254">
        <v>26</v>
      </c>
      <c r="J254">
        <v>25</v>
      </c>
      <c r="K254" s="12">
        <v>6</v>
      </c>
      <c r="L254" t="s">
        <v>20</v>
      </c>
      <c r="M254" s="2">
        <v>2609.1</v>
      </c>
      <c r="N254" s="2">
        <v>396</v>
      </c>
      <c r="P254" s="2">
        <v>1149.5</v>
      </c>
      <c r="Q254" s="13">
        <f t="shared" si="9"/>
        <v>0.38251638880569699</v>
      </c>
      <c r="R254" s="14">
        <f t="shared" si="10"/>
        <v>4154.6000000000004</v>
      </c>
      <c r="S254" s="15">
        <f t="shared" si="11"/>
        <v>4902.4279999999999</v>
      </c>
    </row>
    <row r="255" spans="1:19" x14ac:dyDescent="0.3">
      <c r="A255">
        <v>200010076</v>
      </c>
      <c r="B255">
        <v>273715040</v>
      </c>
      <c r="C255" s="11">
        <v>46230</v>
      </c>
      <c r="D255" s="1">
        <v>874257316212</v>
      </c>
      <c r="E255">
        <v>42211</v>
      </c>
      <c r="F255" t="s">
        <v>25</v>
      </c>
      <c r="G255" s="12">
        <v>4</v>
      </c>
      <c r="H255">
        <v>48</v>
      </c>
      <c r="I255">
        <v>22</v>
      </c>
      <c r="J255">
        <v>20</v>
      </c>
      <c r="K255" s="12">
        <v>4</v>
      </c>
      <c r="L255" t="s">
        <v>20</v>
      </c>
      <c r="M255" s="2">
        <v>1966.1</v>
      </c>
      <c r="N255" s="2">
        <v>264</v>
      </c>
      <c r="P255" s="2">
        <v>853</v>
      </c>
      <c r="Q255" s="13">
        <f t="shared" si="9"/>
        <v>0.38249405856239632</v>
      </c>
      <c r="R255" s="14">
        <f t="shared" si="10"/>
        <v>3083.1</v>
      </c>
      <c r="S255" s="15">
        <f t="shared" si="11"/>
        <v>3638.0579999999995</v>
      </c>
    </row>
    <row r="256" spans="1:19" x14ac:dyDescent="0.3">
      <c r="A256">
        <v>200010076</v>
      </c>
      <c r="B256">
        <v>273715040</v>
      </c>
      <c r="C256" s="11">
        <v>46230</v>
      </c>
      <c r="D256" s="1">
        <v>874257316223</v>
      </c>
      <c r="E256">
        <v>41799</v>
      </c>
      <c r="F256" t="s">
        <v>25</v>
      </c>
      <c r="G256" s="12">
        <v>5</v>
      </c>
      <c r="H256">
        <v>56</v>
      </c>
      <c r="I256">
        <v>22</v>
      </c>
      <c r="J256">
        <v>22</v>
      </c>
      <c r="K256" s="12">
        <v>5</v>
      </c>
      <c r="L256" t="s">
        <v>20</v>
      </c>
      <c r="M256" s="2">
        <v>2231.6999999999998</v>
      </c>
      <c r="N256" s="2">
        <v>330</v>
      </c>
      <c r="P256" s="2">
        <v>979.9</v>
      </c>
      <c r="Q256" s="13">
        <f t="shared" si="9"/>
        <v>0.3825194206971933</v>
      </c>
      <c r="R256" s="14">
        <f t="shared" si="10"/>
        <v>3541.6</v>
      </c>
      <c r="S256" s="15">
        <f t="shared" si="11"/>
        <v>4179.0879999999997</v>
      </c>
    </row>
    <row r="257" spans="1:19" x14ac:dyDescent="0.3">
      <c r="A257">
        <v>200010076</v>
      </c>
      <c r="B257">
        <v>273715040</v>
      </c>
      <c r="C257" s="11">
        <v>46230</v>
      </c>
      <c r="D257" s="1">
        <v>874257316999</v>
      </c>
      <c r="E257">
        <v>41290</v>
      </c>
      <c r="F257" t="s">
        <v>25</v>
      </c>
      <c r="G257" s="12">
        <v>0.6</v>
      </c>
      <c r="H257">
        <v>47</v>
      </c>
      <c r="I257">
        <v>27</v>
      </c>
      <c r="J257">
        <v>27</v>
      </c>
      <c r="K257" s="12">
        <v>5.7</v>
      </c>
      <c r="L257" t="s">
        <v>20</v>
      </c>
      <c r="M257" s="2">
        <v>2609.1</v>
      </c>
      <c r="N257" s="2">
        <v>396</v>
      </c>
      <c r="P257" s="2">
        <v>1149.5</v>
      </c>
      <c r="Q257" s="13">
        <f t="shared" si="9"/>
        <v>0.38251638880569699</v>
      </c>
      <c r="R257" s="14">
        <f t="shared" si="10"/>
        <v>4154.6000000000004</v>
      </c>
      <c r="S257" s="15">
        <f t="shared" si="11"/>
        <v>4902.4279999999999</v>
      </c>
    </row>
    <row r="258" spans="1:19" x14ac:dyDescent="0.3">
      <c r="A258">
        <v>200010076</v>
      </c>
      <c r="B258">
        <v>273715040</v>
      </c>
      <c r="C258" s="11">
        <v>46230</v>
      </c>
      <c r="D258" s="1">
        <v>874257318465</v>
      </c>
      <c r="E258">
        <v>40859</v>
      </c>
      <c r="F258" t="s">
        <v>25</v>
      </c>
      <c r="G258" s="12">
        <v>20</v>
      </c>
      <c r="H258">
        <v>75</v>
      </c>
      <c r="I258">
        <v>40</v>
      </c>
      <c r="J258">
        <v>39</v>
      </c>
      <c r="K258" s="12">
        <v>20</v>
      </c>
      <c r="L258" t="s">
        <v>20</v>
      </c>
      <c r="M258" s="2">
        <v>7818.1</v>
      </c>
      <c r="N258" s="2">
        <v>1320</v>
      </c>
      <c r="P258" s="2">
        <v>3495.3</v>
      </c>
      <c r="Q258" s="13">
        <f t="shared" si="9"/>
        <v>0.38249745570742277</v>
      </c>
      <c r="R258" s="14">
        <f t="shared" si="10"/>
        <v>12633.400000000001</v>
      </c>
      <c r="S258" s="15">
        <f t="shared" si="11"/>
        <v>14907.412</v>
      </c>
    </row>
    <row r="259" spans="1:19" x14ac:dyDescent="0.3">
      <c r="A259">
        <v>200010076</v>
      </c>
      <c r="B259">
        <v>273715040</v>
      </c>
      <c r="C259" s="11">
        <v>46230</v>
      </c>
      <c r="D259" s="1">
        <v>874257318524</v>
      </c>
      <c r="E259">
        <v>41612</v>
      </c>
      <c r="F259" t="s">
        <v>25</v>
      </c>
      <c r="G259" s="12">
        <v>2.5</v>
      </c>
      <c r="H259">
        <v>56</v>
      </c>
      <c r="I259">
        <v>15</v>
      </c>
      <c r="J259">
        <v>15</v>
      </c>
      <c r="K259" s="12">
        <v>2.5</v>
      </c>
      <c r="L259" t="s">
        <v>20</v>
      </c>
      <c r="M259" s="2">
        <v>1671.3</v>
      </c>
      <c r="N259" s="2">
        <v>165</v>
      </c>
      <c r="P259" s="2">
        <v>702.4</v>
      </c>
      <c r="Q259" s="13">
        <f t="shared" si="9"/>
        <v>0.38250830474323366</v>
      </c>
      <c r="R259" s="14">
        <f t="shared" si="10"/>
        <v>2538.6999999999998</v>
      </c>
      <c r="S259" s="15">
        <f t="shared" si="11"/>
        <v>2995.6659999999997</v>
      </c>
    </row>
    <row r="260" spans="1:19" x14ac:dyDescent="0.3">
      <c r="A260">
        <v>200010076</v>
      </c>
      <c r="B260">
        <v>273715040</v>
      </c>
      <c r="C260" s="11">
        <v>46230</v>
      </c>
      <c r="D260" s="1">
        <v>874257319656</v>
      </c>
      <c r="E260">
        <v>4081961412</v>
      </c>
      <c r="F260" t="s">
        <v>25</v>
      </c>
      <c r="G260" s="12">
        <v>29</v>
      </c>
      <c r="H260">
        <v>83</v>
      </c>
      <c r="I260">
        <v>47</v>
      </c>
      <c r="J260">
        <v>44</v>
      </c>
      <c r="K260" s="12">
        <v>29</v>
      </c>
      <c r="L260" t="s">
        <v>20</v>
      </c>
      <c r="M260" s="2">
        <v>11428.7</v>
      </c>
      <c r="N260" s="2">
        <v>1914</v>
      </c>
      <c r="O260" s="2">
        <v>2235</v>
      </c>
      <c r="P260" s="2">
        <v>5958.5</v>
      </c>
      <c r="Q260" s="13">
        <f t="shared" si="9"/>
        <v>0.38250190978128989</v>
      </c>
      <c r="R260" s="14">
        <f t="shared" si="10"/>
        <v>21536.2</v>
      </c>
      <c r="S260" s="15">
        <f t="shared" si="11"/>
        <v>25412.716</v>
      </c>
    </row>
    <row r="261" spans="1:19" x14ac:dyDescent="0.3">
      <c r="A261">
        <v>200010076</v>
      </c>
      <c r="B261">
        <v>273715040</v>
      </c>
      <c r="C261" s="11">
        <v>46230</v>
      </c>
      <c r="D261" s="1">
        <v>874257320400</v>
      </c>
      <c r="E261">
        <v>41970</v>
      </c>
      <c r="F261" t="s">
        <v>25</v>
      </c>
      <c r="G261" s="12">
        <v>3.5</v>
      </c>
      <c r="H261">
        <v>48</v>
      </c>
      <c r="I261">
        <v>21</v>
      </c>
      <c r="J261">
        <v>20</v>
      </c>
      <c r="K261" s="12">
        <v>3.5</v>
      </c>
      <c r="L261" t="s">
        <v>20</v>
      </c>
      <c r="M261" s="2">
        <v>1833.3</v>
      </c>
      <c r="N261" s="2">
        <v>231</v>
      </c>
      <c r="P261" s="2">
        <v>789.6</v>
      </c>
      <c r="Q261" s="13">
        <f t="shared" si="9"/>
        <v>0.38250254323499489</v>
      </c>
      <c r="R261" s="14">
        <f t="shared" si="10"/>
        <v>2853.9</v>
      </c>
      <c r="S261" s="15">
        <f t="shared" si="11"/>
        <v>3367.6019999999999</v>
      </c>
    </row>
    <row r="262" spans="1:19" x14ac:dyDescent="0.3">
      <c r="A262">
        <v>200010076</v>
      </c>
      <c r="B262">
        <v>273715040</v>
      </c>
      <c r="C262" s="11">
        <v>46230</v>
      </c>
      <c r="D262" s="1">
        <v>874257321417</v>
      </c>
      <c r="E262">
        <v>40834</v>
      </c>
      <c r="F262" t="s">
        <v>25</v>
      </c>
      <c r="G262" s="12">
        <v>9.5</v>
      </c>
      <c r="H262">
        <v>65</v>
      </c>
      <c r="I262">
        <v>29</v>
      </c>
      <c r="J262">
        <v>28</v>
      </c>
      <c r="K262" s="12">
        <v>9.5</v>
      </c>
      <c r="L262" t="s">
        <v>20</v>
      </c>
      <c r="M262" s="2">
        <v>3414.5</v>
      </c>
      <c r="N262" s="2">
        <v>627</v>
      </c>
      <c r="P262" s="2">
        <v>1545.9</v>
      </c>
      <c r="Q262" s="13">
        <f t="shared" si="9"/>
        <v>0.38250649511320056</v>
      </c>
      <c r="R262" s="14">
        <f t="shared" si="10"/>
        <v>5587.4</v>
      </c>
      <c r="S262" s="15">
        <f t="shared" si="11"/>
        <v>6593.1319999999996</v>
      </c>
    </row>
    <row r="263" spans="1:19" x14ac:dyDescent="0.3">
      <c r="A263">
        <v>200010076</v>
      </c>
      <c r="B263">
        <v>273715040</v>
      </c>
      <c r="C263" s="11">
        <v>46230</v>
      </c>
      <c r="D263" s="1">
        <v>874228634636</v>
      </c>
      <c r="E263">
        <v>42510</v>
      </c>
      <c r="F263" t="s">
        <v>25</v>
      </c>
      <c r="G263" s="12">
        <v>0.5</v>
      </c>
      <c r="K263" s="12">
        <v>0</v>
      </c>
      <c r="L263" t="s">
        <v>20</v>
      </c>
      <c r="M263" s="2">
        <v>1031.7</v>
      </c>
      <c r="N263" s="2">
        <v>42.5</v>
      </c>
      <c r="P263" s="2">
        <v>410.9</v>
      </c>
      <c r="Q263" s="13">
        <f t="shared" si="9"/>
        <v>0.38251722211878603</v>
      </c>
      <c r="R263" s="14">
        <f t="shared" si="10"/>
        <v>1485.1</v>
      </c>
      <c r="S263" s="15">
        <f t="shared" si="11"/>
        <v>1752.4179999999999</v>
      </c>
    </row>
    <row r="264" spans="1:19" x14ac:dyDescent="0.3">
      <c r="A264">
        <v>200010076</v>
      </c>
      <c r="B264">
        <v>273715040</v>
      </c>
      <c r="C264" s="11">
        <v>46230</v>
      </c>
      <c r="D264" s="1">
        <v>874228634809</v>
      </c>
      <c r="E264">
        <v>42574</v>
      </c>
      <c r="F264" t="s">
        <v>25</v>
      </c>
      <c r="G264" s="12">
        <v>0.5</v>
      </c>
      <c r="K264" s="12">
        <v>0</v>
      </c>
      <c r="L264" t="s">
        <v>20</v>
      </c>
      <c r="M264" s="2">
        <v>1031.7</v>
      </c>
      <c r="N264" s="2">
        <v>42.5</v>
      </c>
      <c r="P264" s="2">
        <v>410.9</v>
      </c>
      <c r="Q264" s="13">
        <f t="shared" si="9"/>
        <v>0.38251722211878603</v>
      </c>
      <c r="R264" s="14">
        <f t="shared" si="10"/>
        <v>1485.1</v>
      </c>
      <c r="S264" s="15">
        <f t="shared" si="11"/>
        <v>1752.4179999999999</v>
      </c>
    </row>
    <row r="265" spans="1:19" x14ac:dyDescent="0.3">
      <c r="A265">
        <v>200010076</v>
      </c>
      <c r="B265">
        <v>273715040</v>
      </c>
      <c r="C265" s="11">
        <v>46230</v>
      </c>
      <c r="D265" s="1">
        <v>874228636937</v>
      </c>
      <c r="E265">
        <v>42590</v>
      </c>
      <c r="F265" t="s">
        <v>25</v>
      </c>
      <c r="G265" s="12">
        <v>0.5</v>
      </c>
      <c r="K265" s="12">
        <v>0</v>
      </c>
      <c r="L265" t="s">
        <v>20</v>
      </c>
      <c r="M265" s="2">
        <v>1031.7</v>
      </c>
      <c r="N265" s="2">
        <v>42.5</v>
      </c>
      <c r="P265" s="2">
        <v>410.9</v>
      </c>
      <c r="Q265" s="13">
        <f t="shared" ref="Q265:Q328" si="12">+P265/SUM(M265:O265)</f>
        <v>0.38251722211878603</v>
      </c>
      <c r="R265" s="14">
        <f t="shared" ref="R265:R328" si="13">SUM(M265:P265)</f>
        <v>1485.1</v>
      </c>
      <c r="S265" s="15">
        <f t="shared" ref="S265:S328" si="14">+R265*1.18</f>
        <v>1752.4179999999999</v>
      </c>
    </row>
    <row r="266" spans="1:19" x14ac:dyDescent="0.3">
      <c r="A266">
        <v>200010076</v>
      </c>
      <c r="B266">
        <v>273715040</v>
      </c>
      <c r="C266" s="11">
        <v>46230</v>
      </c>
      <c r="D266" s="1">
        <v>874228637820</v>
      </c>
      <c r="E266">
        <v>42526</v>
      </c>
      <c r="F266" t="s">
        <v>25</v>
      </c>
      <c r="G266" s="12">
        <v>0.5</v>
      </c>
      <c r="K266" s="12">
        <v>0</v>
      </c>
      <c r="L266" t="s">
        <v>20</v>
      </c>
      <c r="M266" s="2">
        <v>1031.7</v>
      </c>
      <c r="N266" s="2">
        <v>42.5</v>
      </c>
      <c r="P266" s="2">
        <v>410.9</v>
      </c>
      <c r="Q266" s="13">
        <f t="shared" si="12"/>
        <v>0.38251722211878603</v>
      </c>
      <c r="R266" s="14">
        <f t="shared" si="13"/>
        <v>1485.1</v>
      </c>
      <c r="S266" s="15">
        <f t="shared" si="14"/>
        <v>1752.4179999999999</v>
      </c>
    </row>
    <row r="267" spans="1:19" x14ac:dyDescent="0.3">
      <c r="A267">
        <v>200010076</v>
      </c>
      <c r="B267">
        <v>273715040</v>
      </c>
      <c r="C267" s="11">
        <v>46230</v>
      </c>
      <c r="D267" s="1">
        <v>874228645151</v>
      </c>
      <c r="E267">
        <v>42523</v>
      </c>
      <c r="F267" t="s">
        <v>25</v>
      </c>
      <c r="G267" s="12">
        <v>0.5</v>
      </c>
      <c r="K267" s="12">
        <v>0</v>
      </c>
      <c r="L267" t="s">
        <v>20</v>
      </c>
      <c r="M267" s="2">
        <v>1031.7</v>
      </c>
      <c r="N267" s="2">
        <v>42.5</v>
      </c>
      <c r="P267" s="2">
        <v>410.9</v>
      </c>
      <c r="Q267" s="13">
        <f t="shared" si="12"/>
        <v>0.38251722211878603</v>
      </c>
      <c r="R267" s="14">
        <f t="shared" si="13"/>
        <v>1485.1</v>
      </c>
      <c r="S267" s="15">
        <f t="shared" si="14"/>
        <v>1752.4179999999999</v>
      </c>
    </row>
    <row r="268" spans="1:19" x14ac:dyDescent="0.3">
      <c r="A268">
        <v>200010076</v>
      </c>
      <c r="B268">
        <v>273715040</v>
      </c>
      <c r="C268" s="11">
        <v>46230</v>
      </c>
      <c r="D268" s="1">
        <v>874228654800</v>
      </c>
      <c r="E268">
        <v>42490</v>
      </c>
      <c r="F268" t="s">
        <v>25</v>
      </c>
      <c r="G268" s="12">
        <v>0.5</v>
      </c>
      <c r="K268" s="12">
        <v>0</v>
      </c>
      <c r="L268" t="s">
        <v>20</v>
      </c>
      <c r="M268" s="2">
        <v>1031.7</v>
      </c>
      <c r="N268" s="2">
        <v>42.5</v>
      </c>
      <c r="P268" s="2">
        <v>410.9</v>
      </c>
      <c r="Q268" s="13">
        <f t="shared" si="12"/>
        <v>0.38251722211878603</v>
      </c>
      <c r="R268" s="14">
        <f t="shared" si="13"/>
        <v>1485.1</v>
      </c>
      <c r="S268" s="15">
        <f t="shared" si="14"/>
        <v>1752.4179999999999</v>
      </c>
    </row>
    <row r="269" spans="1:19" x14ac:dyDescent="0.3">
      <c r="A269">
        <v>200010076</v>
      </c>
      <c r="B269">
        <v>273715040</v>
      </c>
      <c r="C269" s="11">
        <v>46230</v>
      </c>
      <c r="D269" s="1">
        <v>874228656549</v>
      </c>
      <c r="E269">
        <v>41488</v>
      </c>
      <c r="F269" t="s">
        <v>25</v>
      </c>
      <c r="G269" s="12">
        <v>0.5</v>
      </c>
      <c r="K269" s="12">
        <v>0</v>
      </c>
      <c r="L269" t="s">
        <v>20</v>
      </c>
      <c r="M269" s="2">
        <v>1031.7</v>
      </c>
      <c r="N269" s="2">
        <v>42.5</v>
      </c>
      <c r="P269" s="2">
        <v>410.9</v>
      </c>
      <c r="Q269" s="13">
        <f t="shared" si="12"/>
        <v>0.38251722211878603</v>
      </c>
      <c r="R269" s="14">
        <f t="shared" si="13"/>
        <v>1485.1</v>
      </c>
      <c r="S269" s="15">
        <f t="shared" si="14"/>
        <v>1752.4179999999999</v>
      </c>
    </row>
    <row r="270" spans="1:19" x14ac:dyDescent="0.3">
      <c r="A270">
        <v>200010076</v>
      </c>
      <c r="B270">
        <v>273715040</v>
      </c>
      <c r="C270" s="11">
        <v>46230</v>
      </c>
      <c r="D270" s="1">
        <v>874228665407</v>
      </c>
      <c r="E270">
        <v>42239</v>
      </c>
      <c r="F270" t="s">
        <v>25</v>
      </c>
      <c r="G270" s="12">
        <v>0.5</v>
      </c>
      <c r="K270" s="12">
        <v>0</v>
      </c>
      <c r="L270" t="s">
        <v>20</v>
      </c>
      <c r="M270" s="2">
        <v>1031.7</v>
      </c>
      <c r="N270" s="2">
        <v>42.5</v>
      </c>
      <c r="P270" s="2">
        <v>410.9</v>
      </c>
      <c r="Q270" s="13">
        <f t="shared" si="12"/>
        <v>0.38251722211878603</v>
      </c>
      <c r="R270" s="14">
        <f t="shared" si="13"/>
        <v>1485.1</v>
      </c>
      <c r="S270" s="15">
        <f t="shared" si="14"/>
        <v>1752.4179999999999</v>
      </c>
    </row>
    <row r="271" spans="1:19" x14ac:dyDescent="0.3">
      <c r="A271">
        <v>200010076</v>
      </c>
      <c r="B271">
        <v>273715040</v>
      </c>
      <c r="C271" s="11">
        <v>46230</v>
      </c>
      <c r="D271" s="1">
        <v>874228666403</v>
      </c>
      <c r="E271">
        <v>40342</v>
      </c>
      <c r="F271" t="s">
        <v>25</v>
      </c>
      <c r="G271" s="12">
        <v>0.45</v>
      </c>
      <c r="K271" s="12">
        <v>0</v>
      </c>
      <c r="L271" t="s">
        <v>20</v>
      </c>
      <c r="M271" s="2">
        <v>1031.7</v>
      </c>
      <c r="N271" s="2">
        <v>42.5</v>
      </c>
      <c r="P271" s="2">
        <v>410.9</v>
      </c>
      <c r="Q271" s="13">
        <f t="shared" si="12"/>
        <v>0.38251722211878603</v>
      </c>
      <c r="R271" s="14">
        <f t="shared" si="13"/>
        <v>1485.1</v>
      </c>
      <c r="S271" s="15">
        <f t="shared" si="14"/>
        <v>1752.4179999999999</v>
      </c>
    </row>
    <row r="272" spans="1:19" x14ac:dyDescent="0.3">
      <c r="A272">
        <v>200010076</v>
      </c>
      <c r="B272">
        <v>273715040</v>
      </c>
      <c r="C272" s="11">
        <v>46230</v>
      </c>
      <c r="D272" s="1">
        <v>874228674434</v>
      </c>
      <c r="E272">
        <v>42585</v>
      </c>
      <c r="F272" t="s">
        <v>25</v>
      </c>
      <c r="G272" s="12">
        <v>0.5</v>
      </c>
      <c r="K272" s="12">
        <v>0</v>
      </c>
      <c r="L272" t="s">
        <v>20</v>
      </c>
      <c r="M272" s="2">
        <v>1031.7</v>
      </c>
      <c r="N272" s="2">
        <v>42.5</v>
      </c>
      <c r="P272" s="2">
        <v>410.9</v>
      </c>
      <c r="Q272" s="13">
        <f t="shared" si="12"/>
        <v>0.38251722211878603</v>
      </c>
      <c r="R272" s="14">
        <f t="shared" si="13"/>
        <v>1485.1</v>
      </c>
      <c r="S272" s="15">
        <f t="shared" si="14"/>
        <v>1752.4179999999999</v>
      </c>
    </row>
    <row r="273" spans="1:19" x14ac:dyDescent="0.3">
      <c r="A273">
        <v>200010076</v>
      </c>
      <c r="B273">
        <v>273715040</v>
      </c>
      <c r="C273" s="11">
        <v>46230</v>
      </c>
      <c r="D273" s="1">
        <v>874228682010</v>
      </c>
      <c r="E273">
        <v>42554</v>
      </c>
      <c r="F273" t="s">
        <v>25</v>
      </c>
      <c r="G273" s="12">
        <v>0.5</v>
      </c>
      <c r="K273" s="12">
        <v>0</v>
      </c>
      <c r="L273" t="s">
        <v>20</v>
      </c>
      <c r="M273" s="2">
        <v>1031.7</v>
      </c>
      <c r="N273" s="2">
        <v>42.5</v>
      </c>
      <c r="P273" s="2">
        <v>410.9</v>
      </c>
      <c r="Q273" s="13">
        <f t="shared" si="12"/>
        <v>0.38251722211878603</v>
      </c>
      <c r="R273" s="14">
        <f t="shared" si="13"/>
        <v>1485.1</v>
      </c>
      <c r="S273" s="15">
        <f t="shared" si="14"/>
        <v>1752.4179999999999</v>
      </c>
    </row>
    <row r="274" spans="1:19" x14ac:dyDescent="0.3">
      <c r="A274">
        <v>200010076</v>
      </c>
      <c r="B274">
        <v>273715040</v>
      </c>
      <c r="C274" s="11">
        <v>46230</v>
      </c>
      <c r="D274" s="1">
        <v>874228685913</v>
      </c>
      <c r="E274">
        <v>42560</v>
      </c>
      <c r="F274" t="s">
        <v>25</v>
      </c>
      <c r="G274" s="12">
        <v>0.5</v>
      </c>
      <c r="K274" s="12">
        <v>0</v>
      </c>
      <c r="L274" t="s">
        <v>20</v>
      </c>
      <c r="M274" s="2">
        <v>1031.7</v>
      </c>
      <c r="N274" s="2">
        <v>42.5</v>
      </c>
      <c r="P274" s="2">
        <v>410.9</v>
      </c>
      <c r="Q274" s="13">
        <f t="shared" si="12"/>
        <v>0.38251722211878603</v>
      </c>
      <c r="R274" s="14">
        <f t="shared" si="13"/>
        <v>1485.1</v>
      </c>
      <c r="S274" s="15">
        <f t="shared" si="14"/>
        <v>1752.4179999999999</v>
      </c>
    </row>
    <row r="275" spans="1:19" x14ac:dyDescent="0.3">
      <c r="A275">
        <v>200010076</v>
      </c>
      <c r="B275">
        <v>273715040</v>
      </c>
      <c r="C275" s="11">
        <v>46230</v>
      </c>
      <c r="D275" s="1">
        <v>874228687916</v>
      </c>
      <c r="E275">
        <v>42493</v>
      </c>
      <c r="F275" t="s">
        <v>25</v>
      </c>
      <c r="G275" s="12">
        <v>0.5</v>
      </c>
      <c r="K275" s="12">
        <v>0</v>
      </c>
      <c r="L275" t="s">
        <v>20</v>
      </c>
      <c r="M275" s="2">
        <v>1031.7</v>
      </c>
      <c r="N275" s="2">
        <v>42.5</v>
      </c>
      <c r="P275" s="2">
        <v>410.9</v>
      </c>
      <c r="Q275" s="13">
        <f t="shared" si="12"/>
        <v>0.38251722211878603</v>
      </c>
      <c r="R275" s="14">
        <f t="shared" si="13"/>
        <v>1485.1</v>
      </c>
      <c r="S275" s="15">
        <f t="shared" si="14"/>
        <v>1752.4179999999999</v>
      </c>
    </row>
    <row r="276" spans="1:19" x14ac:dyDescent="0.3">
      <c r="A276">
        <v>200010076</v>
      </c>
      <c r="B276">
        <v>273715040</v>
      </c>
      <c r="C276" s="11">
        <v>46230</v>
      </c>
      <c r="D276" s="1">
        <v>874228691551</v>
      </c>
      <c r="E276" t="s">
        <v>27</v>
      </c>
      <c r="F276" t="s">
        <v>25</v>
      </c>
      <c r="G276" s="12">
        <v>0.95</v>
      </c>
      <c r="K276" s="12">
        <v>0</v>
      </c>
      <c r="L276" t="s">
        <v>20</v>
      </c>
      <c r="M276" s="2">
        <v>1146.7</v>
      </c>
      <c r="N276" s="2">
        <v>66</v>
      </c>
      <c r="P276" s="2">
        <v>463.9</v>
      </c>
      <c r="Q276" s="13">
        <f t="shared" si="12"/>
        <v>0.38253483961408424</v>
      </c>
      <c r="R276" s="14">
        <f t="shared" si="13"/>
        <v>1676.6</v>
      </c>
      <c r="S276" s="15">
        <f t="shared" si="14"/>
        <v>1978.3879999999997</v>
      </c>
    </row>
    <row r="277" spans="1:19" x14ac:dyDescent="0.3">
      <c r="A277">
        <v>200010076</v>
      </c>
      <c r="B277">
        <v>273715040</v>
      </c>
      <c r="C277" s="11">
        <v>46230</v>
      </c>
      <c r="D277" s="1">
        <v>874228695980</v>
      </c>
      <c r="E277">
        <v>4108711668</v>
      </c>
      <c r="F277" t="s">
        <v>25</v>
      </c>
      <c r="G277" s="12">
        <v>0.5</v>
      </c>
      <c r="K277" s="12">
        <v>0</v>
      </c>
      <c r="L277" t="s">
        <v>20</v>
      </c>
      <c r="M277" s="2">
        <v>1031.7</v>
      </c>
      <c r="N277" s="2">
        <v>42.5</v>
      </c>
      <c r="P277" s="2">
        <v>410.9</v>
      </c>
      <c r="Q277" s="13">
        <f t="shared" si="12"/>
        <v>0.38251722211878603</v>
      </c>
      <c r="R277" s="14">
        <f t="shared" si="13"/>
        <v>1485.1</v>
      </c>
      <c r="S277" s="15">
        <f t="shared" si="14"/>
        <v>1752.4179999999999</v>
      </c>
    </row>
    <row r="278" spans="1:19" x14ac:dyDescent="0.3">
      <c r="A278">
        <v>200010076</v>
      </c>
      <c r="B278">
        <v>273715040</v>
      </c>
      <c r="C278" s="11">
        <v>46230</v>
      </c>
      <c r="D278" s="1">
        <v>874228702357</v>
      </c>
      <c r="E278">
        <v>42575</v>
      </c>
      <c r="F278" t="s">
        <v>25</v>
      </c>
      <c r="G278" s="12">
        <v>0.5</v>
      </c>
      <c r="K278" s="12">
        <v>0</v>
      </c>
      <c r="L278" t="s">
        <v>20</v>
      </c>
      <c r="M278" s="2">
        <v>1031.7</v>
      </c>
      <c r="N278" s="2">
        <v>42.5</v>
      </c>
      <c r="P278" s="2">
        <v>410.9</v>
      </c>
      <c r="Q278" s="13">
        <f t="shared" si="12"/>
        <v>0.38251722211878603</v>
      </c>
      <c r="R278" s="14">
        <f t="shared" si="13"/>
        <v>1485.1</v>
      </c>
      <c r="S278" s="15">
        <f t="shared" si="14"/>
        <v>1752.4179999999999</v>
      </c>
    </row>
    <row r="279" spans="1:19" x14ac:dyDescent="0.3">
      <c r="A279">
        <v>200010076</v>
      </c>
      <c r="B279">
        <v>273715040</v>
      </c>
      <c r="C279" s="11">
        <v>46230</v>
      </c>
      <c r="D279" s="1">
        <v>874228712314</v>
      </c>
      <c r="E279">
        <v>4112348375</v>
      </c>
      <c r="F279" t="s">
        <v>25</v>
      </c>
      <c r="G279" s="12">
        <v>0.5</v>
      </c>
      <c r="K279" s="12">
        <v>0</v>
      </c>
      <c r="L279" t="s">
        <v>20</v>
      </c>
      <c r="M279" s="2">
        <v>1031.7</v>
      </c>
      <c r="N279" s="2">
        <v>42.5</v>
      </c>
      <c r="P279" s="2">
        <v>410.9</v>
      </c>
      <c r="Q279" s="13">
        <f t="shared" si="12"/>
        <v>0.38251722211878603</v>
      </c>
      <c r="R279" s="14">
        <f t="shared" si="13"/>
        <v>1485.1</v>
      </c>
      <c r="S279" s="15">
        <f t="shared" si="14"/>
        <v>1752.4179999999999</v>
      </c>
    </row>
    <row r="280" spans="1:19" x14ac:dyDescent="0.3">
      <c r="A280">
        <v>200010076</v>
      </c>
      <c r="B280">
        <v>273715040</v>
      </c>
      <c r="C280" s="11">
        <v>46230</v>
      </c>
      <c r="D280" s="1">
        <v>874228713803</v>
      </c>
      <c r="E280">
        <v>42379</v>
      </c>
      <c r="F280" t="s">
        <v>25</v>
      </c>
      <c r="G280" s="12">
        <v>0.5</v>
      </c>
      <c r="K280" s="12">
        <v>0</v>
      </c>
      <c r="L280" t="s">
        <v>20</v>
      </c>
      <c r="M280" s="2">
        <v>1031.7</v>
      </c>
      <c r="N280" s="2">
        <v>42.5</v>
      </c>
      <c r="P280" s="2">
        <v>410.9</v>
      </c>
      <c r="Q280" s="13">
        <f t="shared" si="12"/>
        <v>0.38251722211878603</v>
      </c>
      <c r="R280" s="14">
        <f t="shared" si="13"/>
        <v>1485.1</v>
      </c>
      <c r="S280" s="15">
        <f t="shared" si="14"/>
        <v>1752.4179999999999</v>
      </c>
    </row>
    <row r="281" spans="1:19" x14ac:dyDescent="0.3">
      <c r="A281">
        <v>200010076</v>
      </c>
      <c r="B281">
        <v>273715040</v>
      </c>
      <c r="C281" s="11">
        <v>46230</v>
      </c>
      <c r="D281" s="1">
        <v>874228715920</v>
      </c>
      <c r="E281">
        <v>42383</v>
      </c>
      <c r="F281" t="s">
        <v>25</v>
      </c>
      <c r="G281" s="12">
        <v>0.5</v>
      </c>
      <c r="K281" s="12">
        <v>0</v>
      </c>
      <c r="L281" t="s">
        <v>20</v>
      </c>
      <c r="M281" s="2">
        <v>1031.7</v>
      </c>
      <c r="N281" s="2">
        <v>42.5</v>
      </c>
      <c r="P281" s="2">
        <v>410.9</v>
      </c>
      <c r="Q281" s="13">
        <f t="shared" si="12"/>
        <v>0.38251722211878603</v>
      </c>
      <c r="R281" s="14">
        <f t="shared" si="13"/>
        <v>1485.1</v>
      </c>
      <c r="S281" s="15">
        <f t="shared" si="14"/>
        <v>1752.4179999999999</v>
      </c>
    </row>
    <row r="282" spans="1:19" x14ac:dyDescent="0.3">
      <c r="A282">
        <v>200010076</v>
      </c>
      <c r="B282">
        <v>273715040</v>
      </c>
      <c r="C282" s="11">
        <v>46230</v>
      </c>
      <c r="D282" s="1">
        <v>874228727832</v>
      </c>
      <c r="E282">
        <v>4110822628</v>
      </c>
      <c r="F282" t="s">
        <v>25</v>
      </c>
      <c r="G282" s="12">
        <v>0.5</v>
      </c>
      <c r="K282" s="12">
        <v>0</v>
      </c>
      <c r="L282" t="s">
        <v>20</v>
      </c>
      <c r="M282" s="2">
        <v>1031.7</v>
      </c>
      <c r="N282" s="2">
        <v>42.5</v>
      </c>
      <c r="P282" s="2">
        <v>410.9</v>
      </c>
      <c r="Q282" s="13">
        <f t="shared" si="12"/>
        <v>0.38251722211878603</v>
      </c>
      <c r="R282" s="14">
        <f t="shared" si="13"/>
        <v>1485.1</v>
      </c>
      <c r="S282" s="15">
        <f t="shared" si="14"/>
        <v>1752.4179999999999</v>
      </c>
    </row>
    <row r="283" spans="1:19" x14ac:dyDescent="0.3">
      <c r="A283">
        <v>200010076</v>
      </c>
      <c r="B283">
        <v>273715040</v>
      </c>
      <c r="C283" s="11">
        <v>46230</v>
      </c>
      <c r="D283" s="1">
        <v>874228735234</v>
      </c>
      <c r="E283">
        <v>42416</v>
      </c>
      <c r="F283" t="s">
        <v>25</v>
      </c>
      <c r="G283" s="12">
        <v>0.5</v>
      </c>
      <c r="K283" s="12">
        <v>0</v>
      </c>
      <c r="L283" t="s">
        <v>20</v>
      </c>
      <c r="M283" s="2">
        <v>1031.7</v>
      </c>
      <c r="N283" s="2">
        <v>42.5</v>
      </c>
      <c r="P283" s="2">
        <v>410.9</v>
      </c>
      <c r="Q283" s="13">
        <f t="shared" si="12"/>
        <v>0.38251722211878603</v>
      </c>
      <c r="R283" s="14">
        <f t="shared" si="13"/>
        <v>1485.1</v>
      </c>
      <c r="S283" s="15">
        <f t="shared" si="14"/>
        <v>1752.4179999999999</v>
      </c>
    </row>
    <row r="284" spans="1:19" x14ac:dyDescent="0.3">
      <c r="A284">
        <v>200010076</v>
      </c>
      <c r="B284">
        <v>273715040</v>
      </c>
      <c r="C284" s="11">
        <v>46230</v>
      </c>
      <c r="D284" s="1">
        <v>874228738082</v>
      </c>
      <c r="E284">
        <v>42483</v>
      </c>
      <c r="F284" t="s">
        <v>25</v>
      </c>
      <c r="G284" s="12">
        <v>0.5</v>
      </c>
      <c r="K284" s="12">
        <v>0</v>
      </c>
      <c r="L284" t="s">
        <v>20</v>
      </c>
      <c r="M284" s="2">
        <v>1031.7</v>
      </c>
      <c r="N284" s="2">
        <v>42.5</v>
      </c>
      <c r="P284" s="2">
        <v>410.9</v>
      </c>
      <c r="Q284" s="13">
        <f t="shared" si="12"/>
        <v>0.38251722211878603</v>
      </c>
      <c r="R284" s="14">
        <f t="shared" si="13"/>
        <v>1485.1</v>
      </c>
      <c r="S284" s="15">
        <f t="shared" si="14"/>
        <v>1752.4179999999999</v>
      </c>
    </row>
    <row r="285" spans="1:19" x14ac:dyDescent="0.3">
      <c r="A285">
        <v>200010076</v>
      </c>
      <c r="B285">
        <v>273715040</v>
      </c>
      <c r="C285" s="11">
        <v>46230</v>
      </c>
      <c r="D285" s="1">
        <v>874228745544</v>
      </c>
      <c r="E285">
        <v>42296</v>
      </c>
      <c r="F285" t="s">
        <v>25</v>
      </c>
      <c r="G285" s="12">
        <v>0.77</v>
      </c>
      <c r="K285" s="12">
        <v>0</v>
      </c>
      <c r="L285" t="s">
        <v>20</v>
      </c>
      <c r="M285" s="2">
        <v>1146.7</v>
      </c>
      <c r="N285" s="2">
        <v>66</v>
      </c>
      <c r="P285" s="2">
        <v>463.9</v>
      </c>
      <c r="Q285" s="13">
        <f t="shared" si="12"/>
        <v>0.38253483961408424</v>
      </c>
      <c r="R285" s="14">
        <f t="shared" si="13"/>
        <v>1676.6</v>
      </c>
      <c r="S285" s="15">
        <f t="shared" si="14"/>
        <v>1978.3879999999997</v>
      </c>
    </row>
    <row r="286" spans="1:19" x14ac:dyDescent="0.3">
      <c r="A286">
        <v>200010076</v>
      </c>
      <c r="B286">
        <v>273715040</v>
      </c>
      <c r="C286" s="11">
        <v>46230</v>
      </c>
      <c r="D286" s="1">
        <v>874228747867</v>
      </c>
      <c r="E286">
        <v>42508</v>
      </c>
      <c r="F286" t="s">
        <v>25</v>
      </c>
      <c r="G286" s="12">
        <v>0.5</v>
      </c>
      <c r="K286" s="12">
        <v>0</v>
      </c>
      <c r="L286" t="s">
        <v>20</v>
      </c>
      <c r="M286" s="2">
        <v>1031.7</v>
      </c>
      <c r="N286" s="2">
        <v>42.5</v>
      </c>
      <c r="P286" s="2">
        <v>410.9</v>
      </c>
      <c r="Q286" s="13">
        <f t="shared" si="12"/>
        <v>0.38251722211878603</v>
      </c>
      <c r="R286" s="14">
        <f t="shared" si="13"/>
        <v>1485.1</v>
      </c>
      <c r="S286" s="15">
        <f t="shared" si="14"/>
        <v>1752.4179999999999</v>
      </c>
    </row>
    <row r="287" spans="1:19" x14ac:dyDescent="0.3">
      <c r="A287">
        <v>200010076</v>
      </c>
      <c r="B287">
        <v>273715040</v>
      </c>
      <c r="C287" s="11">
        <v>46230</v>
      </c>
      <c r="D287" s="1">
        <v>874228757560</v>
      </c>
      <c r="E287">
        <v>42540</v>
      </c>
      <c r="F287" t="s">
        <v>25</v>
      </c>
      <c r="G287" s="12">
        <v>0.5</v>
      </c>
      <c r="K287" s="12">
        <v>0</v>
      </c>
      <c r="L287" t="s">
        <v>20</v>
      </c>
      <c r="M287" s="2">
        <v>1031.7</v>
      </c>
      <c r="N287" s="2">
        <v>42.5</v>
      </c>
      <c r="P287" s="2">
        <v>410.9</v>
      </c>
      <c r="Q287" s="13">
        <f t="shared" si="12"/>
        <v>0.38251722211878603</v>
      </c>
      <c r="R287" s="14">
        <f t="shared" si="13"/>
        <v>1485.1</v>
      </c>
      <c r="S287" s="15">
        <f t="shared" si="14"/>
        <v>1752.4179999999999</v>
      </c>
    </row>
    <row r="288" spans="1:19" x14ac:dyDescent="0.3">
      <c r="A288">
        <v>200010076</v>
      </c>
      <c r="B288">
        <v>273715040</v>
      </c>
      <c r="C288" s="11">
        <v>46230</v>
      </c>
      <c r="D288" s="1">
        <v>874228764414</v>
      </c>
      <c r="E288">
        <v>42529</v>
      </c>
      <c r="F288" t="s">
        <v>25</v>
      </c>
      <c r="G288" s="12">
        <v>0.5</v>
      </c>
      <c r="K288" s="12">
        <v>0</v>
      </c>
      <c r="L288" t="s">
        <v>20</v>
      </c>
      <c r="M288" s="2">
        <v>1031.7</v>
      </c>
      <c r="N288" s="2">
        <v>42.5</v>
      </c>
      <c r="P288" s="2">
        <v>410.9</v>
      </c>
      <c r="Q288" s="13">
        <f t="shared" si="12"/>
        <v>0.38251722211878603</v>
      </c>
      <c r="R288" s="14">
        <f t="shared" si="13"/>
        <v>1485.1</v>
      </c>
      <c r="S288" s="15">
        <f t="shared" si="14"/>
        <v>1752.4179999999999</v>
      </c>
    </row>
    <row r="289" spans="1:19" x14ac:dyDescent="0.3">
      <c r="A289">
        <v>200010076</v>
      </c>
      <c r="B289">
        <v>273715040</v>
      </c>
      <c r="C289" s="11">
        <v>46230</v>
      </c>
      <c r="D289" s="1">
        <v>874228776186</v>
      </c>
      <c r="E289">
        <v>40508</v>
      </c>
      <c r="F289" t="s">
        <v>25</v>
      </c>
      <c r="G289" s="12">
        <v>0.5</v>
      </c>
      <c r="K289" s="12">
        <v>0</v>
      </c>
      <c r="L289" t="s">
        <v>20</v>
      </c>
      <c r="M289" s="2">
        <v>1031.7</v>
      </c>
      <c r="N289" s="2">
        <v>42.5</v>
      </c>
      <c r="P289" s="2">
        <v>410.9</v>
      </c>
      <c r="Q289" s="13">
        <f t="shared" si="12"/>
        <v>0.38251722211878603</v>
      </c>
      <c r="R289" s="14">
        <f t="shared" si="13"/>
        <v>1485.1</v>
      </c>
      <c r="S289" s="15">
        <f t="shared" si="14"/>
        <v>1752.4179999999999</v>
      </c>
    </row>
    <row r="290" spans="1:19" x14ac:dyDescent="0.3">
      <c r="A290">
        <v>200010076</v>
      </c>
      <c r="B290">
        <v>273715040</v>
      </c>
      <c r="C290" s="11">
        <v>46230</v>
      </c>
      <c r="D290" s="1">
        <v>874228780086</v>
      </c>
      <c r="E290">
        <v>42559</v>
      </c>
      <c r="F290" t="s">
        <v>25</v>
      </c>
      <c r="G290" s="12">
        <v>0.5</v>
      </c>
      <c r="K290" s="12">
        <v>0</v>
      </c>
      <c r="L290" t="s">
        <v>20</v>
      </c>
      <c r="M290" s="2">
        <v>1031.7</v>
      </c>
      <c r="N290" s="2">
        <v>42.5</v>
      </c>
      <c r="P290" s="2">
        <v>410.9</v>
      </c>
      <c r="Q290" s="13">
        <f t="shared" si="12"/>
        <v>0.38251722211878603</v>
      </c>
      <c r="R290" s="14">
        <f t="shared" si="13"/>
        <v>1485.1</v>
      </c>
      <c r="S290" s="15">
        <f t="shared" si="14"/>
        <v>1752.4179999999999</v>
      </c>
    </row>
    <row r="291" spans="1:19" x14ac:dyDescent="0.3">
      <c r="A291">
        <v>200010076</v>
      </c>
      <c r="B291">
        <v>273715040</v>
      </c>
      <c r="C291" s="11">
        <v>46230</v>
      </c>
      <c r="D291" s="1">
        <v>874228784210</v>
      </c>
      <c r="E291">
        <v>40563</v>
      </c>
      <c r="F291" t="s">
        <v>25</v>
      </c>
      <c r="G291" s="12">
        <v>0.73</v>
      </c>
      <c r="K291" s="12">
        <v>0</v>
      </c>
      <c r="L291" t="s">
        <v>20</v>
      </c>
      <c r="M291" s="2">
        <v>1146.7</v>
      </c>
      <c r="N291" s="2">
        <v>66</v>
      </c>
      <c r="P291" s="2">
        <v>463.9</v>
      </c>
      <c r="Q291" s="13">
        <f t="shared" si="12"/>
        <v>0.38253483961408424</v>
      </c>
      <c r="R291" s="14">
        <f t="shared" si="13"/>
        <v>1676.6</v>
      </c>
      <c r="S291" s="15">
        <f t="shared" si="14"/>
        <v>1978.3879999999997</v>
      </c>
    </row>
    <row r="292" spans="1:19" x14ac:dyDescent="0.3">
      <c r="A292">
        <v>200010076</v>
      </c>
      <c r="B292">
        <v>273715040</v>
      </c>
      <c r="C292" s="11">
        <v>46230</v>
      </c>
      <c r="D292" s="1">
        <v>874228791094</v>
      </c>
      <c r="E292">
        <v>42532</v>
      </c>
      <c r="F292" t="s">
        <v>25</v>
      </c>
      <c r="G292" s="12">
        <v>0.5</v>
      </c>
      <c r="K292" s="12">
        <v>0</v>
      </c>
      <c r="L292" t="s">
        <v>20</v>
      </c>
      <c r="M292" s="2">
        <v>1031.7</v>
      </c>
      <c r="N292" s="2">
        <v>42.5</v>
      </c>
      <c r="P292" s="2">
        <v>410.9</v>
      </c>
      <c r="Q292" s="13">
        <f t="shared" si="12"/>
        <v>0.38251722211878603</v>
      </c>
      <c r="R292" s="14">
        <f t="shared" si="13"/>
        <v>1485.1</v>
      </c>
      <c r="S292" s="15">
        <f t="shared" si="14"/>
        <v>1752.4179999999999</v>
      </c>
    </row>
    <row r="293" spans="1:19" x14ac:dyDescent="0.3">
      <c r="A293">
        <v>200010076</v>
      </c>
      <c r="B293">
        <v>273715040</v>
      </c>
      <c r="C293" s="11">
        <v>46230</v>
      </c>
      <c r="D293" s="1">
        <v>874228792745</v>
      </c>
      <c r="E293">
        <v>41934</v>
      </c>
      <c r="F293" t="s">
        <v>25</v>
      </c>
      <c r="G293" s="12">
        <v>1</v>
      </c>
      <c r="K293" s="12">
        <v>0</v>
      </c>
      <c r="L293" t="s">
        <v>20</v>
      </c>
      <c r="M293" s="2">
        <v>1146.7</v>
      </c>
      <c r="N293" s="2">
        <v>66</v>
      </c>
      <c r="P293" s="2">
        <v>463.9</v>
      </c>
      <c r="Q293" s="13">
        <f t="shared" si="12"/>
        <v>0.38253483961408424</v>
      </c>
      <c r="R293" s="14">
        <f t="shared" si="13"/>
        <v>1676.6</v>
      </c>
      <c r="S293" s="15">
        <f t="shared" si="14"/>
        <v>1978.3879999999997</v>
      </c>
    </row>
    <row r="294" spans="1:19" x14ac:dyDescent="0.3">
      <c r="A294">
        <v>200010076</v>
      </c>
      <c r="B294">
        <v>273715040</v>
      </c>
      <c r="C294" s="11">
        <v>46230</v>
      </c>
      <c r="D294" s="1">
        <v>874228797839</v>
      </c>
      <c r="E294">
        <v>42509</v>
      </c>
      <c r="F294" t="s">
        <v>25</v>
      </c>
      <c r="G294" s="12">
        <v>0.5</v>
      </c>
      <c r="K294" s="12">
        <v>0</v>
      </c>
      <c r="L294" t="s">
        <v>20</v>
      </c>
      <c r="M294" s="2">
        <v>1031.7</v>
      </c>
      <c r="N294" s="2">
        <v>42.5</v>
      </c>
      <c r="P294" s="2">
        <v>410.9</v>
      </c>
      <c r="Q294" s="13">
        <f t="shared" si="12"/>
        <v>0.38251722211878603</v>
      </c>
      <c r="R294" s="14">
        <f t="shared" si="13"/>
        <v>1485.1</v>
      </c>
      <c r="S294" s="15">
        <f t="shared" si="14"/>
        <v>1752.4179999999999</v>
      </c>
    </row>
    <row r="295" spans="1:19" x14ac:dyDescent="0.3">
      <c r="A295">
        <v>200010076</v>
      </c>
      <c r="B295">
        <v>273715040</v>
      </c>
      <c r="C295" s="11">
        <v>46230</v>
      </c>
      <c r="D295" s="1">
        <v>874228803941</v>
      </c>
      <c r="E295">
        <v>41767</v>
      </c>
      <c r="F295" t="s">
        <v>25</v>
      </c>
      <c r="G295" s="12">
        <v>1</v>
      </c>
      <c r="K295" s="12">
        <v>0</v>
      </c>
      <c r="L295" t="s">
        <v>20</v>
      </c>
      <c r="M295" s="2">
        <v>1146.7</v>
      </c>
      <c r="N295" s="2">
        <v>66</v>
      </c>
      <c r="P295" s="2">
        <v>463.9</v>
      </c>
      <c r="Q295" s="13">
        <f t="shared" si="12"/>
        <v>0.38253483961408424</v>
      </c>
      <c r="R295" s="14">
        <f t="shared" si="13"/>
        <v>1676.6</v>
      </c>
      <c r="S295" s="15">
        <f t="shared" si="14"/>
        <v>1978.3879999999997</v>
      </c>
    </row>
    <row r="296" spans="1:19" x14ac:dyDescent="0.3">
      <c r="A296">
        <v>200010076</v>
      </c>
      <c r="B296">
        <v>273715040</v>
      </c>
      <c r="C296" s="11">
        <v>46230</v>
      </c>
      <c r="D296" s="1">
        <v>874228806447</v>
      </c>
      <c r="E296">
        <v>42482</v>
      </c>
      <c r="F296" t="s">
        <v>25</v>
      </c>
      <c r="G296" s="12">
        <v>0.5</v>
      </c>
      <c r="K296" s="12">
        <v>0</v>
      </c>
      <c r="L296" t="s">
        <v>20</v>
      </c>
      <c r="M296" s="2">
        <v>1031.7</v>
      </c>
      <c r="N296" s="2">
        <v>42.5</v>
      </c>
      <c r="P296" s="2">
        <v>410.9</v>
      </c>
      <c r="Q296" s="13">
        <f t="shared" si="12"/>
        <v>0.38251722211878603</v>
      </c>
      <c r="R296" s="14">
        <f t="shared" si="13"/>
        <v>1485.1</v>
      </c>
      <c r="S296" s="15">
        <f t="shared" si="14"/>
        <v>1752.4179999999999</v>
      </c>
    </row>
    <row r="297" spans="1:19" x14ac:dyDescent="0.3">
      <c r="A297">
        <v>200010076</v>
      </c>
      <c r="B297">
        <v>273715040</v>
      </c>
      <c r="C297" s="11">
        <v>46230</v>
      </c>
      <c r="D297" s="1">
        <v>874228813850</v>
      </c>
      <c r="E297">
        <v>42501</v>
      </c>
      <c r="F297" t="s">
        <v>25</v>
      </c>
      <c r="G297" s="12">
        <v>0.5</v>
      </c>
      <c r="K297" s="12">
        <v>0</v>
      </c>
      <c r="L297" t="s">
        <v>20</v>
      </c>
      <c r="M297" s="2">
        <v>1031.7</v>
      </c>
      <c r="N297" s="2">
        <v>42.5</v>
      </c>
      <c r="P297" s="2">
        <v>410.9</v>
      </c>
      <c r="Q297" s="13">
        <f t="shared" si="12"/>
        <v>0.38251722211878603</v>
      </c>
      <c r="R297" s="14">
        <f t="shared" si="13"/>
        <v>1485.1</v>
      </c>
      <c r="S297" s="15">
        <f t="shared" si="14"/>
        <v>1752.4179999999999</v>
      </c>
    </row>
    <row r="298" spans="1:19" x14ac:dyDescent="0.3">
      <c r="A298">
        <v>200010076</v>
      </c>
      <c r="B298">
        <v>273715040</v>
      </c>
      <c r="C298" s="11">
        <v>46230</v>
      </c>
      <c r="D298" s="1">
        <v>874228817937</v>
      </c>
      <c r="E298">
        <v>42512</v>
      </c>
      <c r="F298" t="s">
        <v>25</v>
      </c>
      <c r="G298" s="12">
        <v>0.5</v>
      </c>
      <c r="K298" s="12">
        <v>0</v>
      </c>
      <c r="L298" t="s">
        <v>20</v>
      </c>
      <c r="M298" s="2">
        <v>1031.7</v>
      </c>
      <c r="N298" s="2">
        <v>42.5</v>
      </c>
      <c r="P298" s="2">
        <v>410.9</v>
      </c>
      <c r="Q298" s="13">
        <f t="shared" si="12"/>
        <v>0.38251722211878603</v>
      </c>
      <c r="R298" s="14">
        <f t="shared" si="13"/>
        <v>1485.1</v>
      </c>
      <c r="S298" s="15">
        <f t="shared" si="14"/>
        <v>1752.4179999999999</v>
      </c>
    </row>
    <row r="299" spans="1:19" x14ac:dyDescent="0.3">
      <c r="A299">
        <v>200010076</v>
      </c>
      <c r="B299">
        <v>273715040</v>
      </c>
      <c r="C299" s="11">
        <v>46230</v>
      </c>
      <c r="D299" s="1">
        <v>874228828350</v>
      </c>
      <c r="E299">
        <v>42547</v>
      </c>
      <c r="F299" t="s">
        <v>25</v>
      </c>
      <c r="G299" s="12">
        <v>0.5</v>
      </c>
      <c r="K299" s="12">
        <v>0</v>
      </c>
      <c r="L299" t="s">
        <v>20</v>
      </c>
      <c r="M299" s="2">
        <v>1031.7</v>
      </c>
      <c r="N299" s="2">
        <v>42.5</v>
      </c>
      <c r="P299" s="2">
        <v>410.9</v>
      </c>
      <c r="Q299" s="13">
        <f t="shared" si="12"/>
        <v>0.38251722211878603</v>
      </c>
      <c r="R299" s="14">
        <f t="shared" si="13"/>
        <v>1485.1</v>
      </c>
      <c r="S299" s="15">
        <f t="shared" si="14"/>
        <v>1752.4179999999999</v>
      </c>
    </row>
    <row r="300" spans="1:19" x14ac:dyDescent="0.3">
      <c r="A300">
        <v>200010076</v>
      </c>
      <c r="B300">
        <v>273715040</v>
      </c>
      <c r="C300" s="11">
        <v>46230</v>
      </c>
      <c r="D300" s="1">
        <v>874228829194</v>
      </c>
      <c r="E300">
        <v>41843</v>
      </c>
      <c r="F300" t="s">
        <v>25</v>
      </c>
      <c r="G300" s="12">
        <v>1.5</v>
      </c>
      <c r="K300" s="12">
        <v>0</v>
      </c>
      <c r="L300" t="s">
        <v>20</v>
      </c>
      <c r="M300" s="2">
        <v>1298.8</v>
      </c>
      <c r="N300" s="2">
        <v>99</v>
      </c>
      <c r="P300" s="2">
        <v>534.70000000000005</v>
      </c>
      <c r="Q300" s="13">
        <f t="shared" si="12"/>
        <v>0.38252968951209049</v>
      </c>
      <c r="R300" s="14">
        <f t="shared" si="13"/>
        <v>1932.5</v>
      </c>
      <c r="S300" s="15">
        <f t="shared" si="14"/>
        <v>2280.35</v>
      </c>
    </row>
    <row r="301" spans="1:19" x14ac:dyDescent="0.3">
      <c r="A301">
        <v>200010076</v>
      </c>
      <c r="B301">
        <v>273715040</v>
      </c>
      <c r="C301" s="11">
        <v>46230</v>
      </c>
      <c r="D301" s="1">
        <v>874228834767</v>
      </c>
      <c r="E301">
        <v>42474</v>
      </c>
      <c r="F301" t="s">
        <v>25</v>
      </c>
      <c r="G301" s="12">
        <v>0.5</v>
      </c>
      <c r="K301" s="12">
        <v>0</v>
      </c>
      <c r="L301" t="s">
        <v>20</v>
      </c>
      <c r="M301" s="2">
        <v>1031.7</v>
      </c>
      <c r="N301" s="2">
        <v>42.5</v>
      </c>
      <c r="P301" s="2">
        <v>410.9</v>
      </c>
      <c r="Q301" s="13">
        <f t="shared" si="12"/>
        <v>0.38251722211878603</v>
      </c>
      <c r="R301" s="14">
        <f t="shared" si="13"/>
        <v>1485.1</v>
      </c>
      <c r="S301" s="15">
        <f t="shared" si="14"/>
        <v>1752.4179999999999</v>
      </c>
    </row>
    <row r="302" spans="1:19" x14ac:dyDescent="0.3">
      <c r="A302">
        <v>200010076</v>
      </c>
      <c r="B302">
        <v>273715040</v>
      </c>
      <c r="C302" s="11">
        <v>46230</v>
      </c>
      <c r="D302" s="1">
        <v>874228837939</v>
      </c>
      <c r="E302">
        <v>42524</v>
      </c>
      <c r="F302" t="s">
        <v>25</v>
      </c>
      <c r="G302" s="12">
        <v>0.5</v>
      </c>
      <c r="K302" s="12">
        <v>0</v>
      </c>
      <c r="L302" t="s">
        <v>20</v>
      </c>
      <c r="M302" s="2">
        <v>1031.7</v>
      </c>
      <c r="N302" s="2">
        <v>42.5</v>
      </c>
      <c r="P302" s="2">
        <v>410.9</v>
      </c>
      <c r="Q302" s="13">
        <f t="shared" si="12"/>
        <v>0.38251722211878603</v>
      </c>
      <c r="R302" s="14">
        <f t="shared" si="13"/>
        <v>1485.1</v>
      </c>
      <c r="S302" s="15">
        <f t="shared" si="14"/>
        <v>1752.4179999999999</v>
      </c>
    </row>
    <row r="303" spans="1:19" x14ac:dyDescent="0.3">
      <c r="A303">
        <v>200010076</v>
      </c>
      <c r="B303">
        <v>273715040</v>
      </c>
      <c r="C303" s="11">
        <v>46230</v>
      </c>
      <c r="D303" s="1">
        <v>874228852880</v>
      </c>
      <c r="E303">
        <v>42500</v>
      </c>
      <c r="F303" t="s">
        <v>25</v>
      </c>
      <c r="G303" s="12">
        <v>0.5</v>
      </c>
      <c r="K303" s="12">
        <v>0</v>
      </c>
      <c r="L303" t="s">
        <v>20</v>
      </c>
      <c r="M303" s="2">
        <v>1031.7</v>
      </c>
      <c r="N303" s="2">
        <v>42.5</v>
      </c>
      <c r="P303" s="2">
        <v>410.9</v>
      </c>
      <c r="Q303" s="13">
        <f t="shared" si="12"/>
        <v>0.38251722211878603</v>
      </c>
      <c r="R303" s="14">
        <f t="shared" si="13"/>
        <v>1485.1</v>
      </c>
      <c r="S303" s="15">
        <f t="shared" si="14"/>
        <v>1752.4179999999999</v>
      </c>
    </row>
    <row r="304" spans="1:19" x14ac:dyDescent="0.3">
      <c r="A304">
        <v>200010076</v>
      </c>
      <c r="B304">
        <v>273715040</v>
      </c>
      <c r="C304" s="11">
        <v>46230</v>
      </c>
      <c r="D304" s="1">
        <v>874228860547</v>
      </c>
      <c r="E304">
        <v>42433</v>
      </c>
      <c r="F304" t="s">
        <v>25</v>
      </c>
      <c r="G304" s="12">
        <v>0.5</v>
      </c>
      <c r="K304" s="12">
        <v>0</v>
      </c>
      <c r="L304" t="s">
        <v>20</v>
      </c>
      <c r="M304" s="2">
        <v>1031.7</v>
      </c>
      <c r="N304" s="2">
        <v>42.5</v>
      </c>
      <c r="P304" s="2">
        <v>410.9</v>
      </c>
      <c r="Q304" s="13">
        <f t="shared" si="12"/>
        <v>0.38251722211878603</v>
      </c>
      <c r="R304" s="14">
        <f t="shared" si="13"/>
        <v>1485.1</v>
      </c>
      <c r="S304" s="15">
        <f t="shared" si="14"/>
        <v>1752.4179999999999</v>
      </c>
    </row>
    <row r="305" spans="1:19" x14ac:dyDescent="0.3">
      <c r="A305">
        <v>200010076</v>
      </c>
      <c r="B305">
        <v>273715040</v>
      </c>
      <c r="C305" s="11">
        <v>46230</v>
      </c>
      <c r="D305" s="1">
        <v>874228863097</v>
      </c>
      <c r="E305">
        <v>41961</v>
      </c>
      <c r="F305" t="s">
        <v>25</v>
      </c>
      <c r="G305" s="12">
        <v>1.22</v>
      </c>
      <c r="K305" s="12">
        <v>0</v>
      </c>
      <c r="L305" t="s">
        <v>20</v>
      </c>
      <c r="M305" s="2">
        <v>1298.8</v>
      </c>
      <c r="N305" s="2">
        <v>99</v>
      </c>
      <c r="P305" s="2">
        <v>534.70000000000005</v>
      </c>
      <c r="Q305" s="13">
        <f t="shared" si="12"/>
        <v>0.38252968951209049</v>
      </c>
      <c r="R305" s="14">
        <f t="shared" si="13"/>
        <v>1932.5</v>
      </c>
      <c r="S305" s="15">
        <f t="shared" si="14"/>
        <v>2280.35</v>
      </c>
    </row>
    <row r="306" spans="1:19" x14ac:dyDescent="0.3">
      <c r="A306">
        <v>200010076</v>
      </c>
      <c r="B306">
        <v>273715040</v>
      </c>
      <c r="C306" s="11">
        <v>46230</v>
      </c>
      <c r="D306" s="1">
        <v>874228870710</v>
      </c>
      <c r="E306">
        <v>42189</v>
      </c>
      <c r="F306" t="s">
        <v>25</v>
      </c>
      <c r="G306" s="12">
        <v>0.5</v>
      </c>
      <c r="K306" s="12">
        <v>0</v>
      </c>
      <c r="L306" t="s">
        <v>20</v>
      </c>
      <c r="M306" s="2">
        <v>1031.7</v>
      </c>
      <c r="N306" s="2">
        <v>42.5</v>
      </c>
      <c r="P306" s="2">
        <v>410.9</v>
      </c>
      <c r="Q306" s="13">
        <f t="shared" si="12"/>
        <v>0.38251722211878603</v>
      </c>
      <c r="R306" s="14">
        <f t="shared" si="13"/>
        <v>1485.1</v>
      </c>
      <c r="S306" s="15">
        <f t="shared" si="14"/>
        <v>1752.4179999999999</v>
      </c>
    </row>
    <row r="307" spans="1:19" x14ac:dyDescent="0.3">
      <c r="A307">
        <v>200010076</v>
      </c>
      <c r="B307">
        <v>273715040</v>
      </c>
      <c r="C307" s="11">
        <v>46230</v>
      </c>
      <c r="D307" s="1">
        <v>874257261290</v>
      </c>
      <c r="E307">
        <v>4106903322</v>
      </c>
      <c r="F307" t="s">
        <v>25</v>
      </c>
      <c r="G307" s="12">
        <v>0.1</v>
      </c>
      <c r="K307" s="12">
        <v>0</v>
      </c>
      <c r="L307" t="s">
        <v>20</v>
      </c>
      <c r="M307" s="2">
        <v>1345.7</v>
      </c>
      <c r="N307" s="2">
        <v>0</v>
      </c>
      <c r="P307" s="2">
        <v>514.70000000000005</v>
      </c>
      <c r="Q307" s="13">
        <f t="shared" si="12"/>
        <v>0.38247752099279186</v>
      </c>
      <c r="R307" s="14">
        <f t="shared" si="13"/>
        <v>1860.4</v>
      </c>
      <c r="S307" s="15">
        <f t="shared" si="14"/>
        <v>2195.2719999999999</v>
      </c>
    </row>
    <row r="308" spans="1:19" x14ac:dyDescent="0.3">
      <c r="A308">
        <v>200010076</v>
      </c>
      <c r="B308">
        <v>273715040</v>
      </c>
      <c r="C308" s="11">
        <v>46230</v>
      </c>
      <c r="D308" s="1">
        <v>874257284500</v>
      </c>
      <c r="E308">
        <v>42460</v>
      </c>
      <c r="F308" t="s">
        <v>25</v>
      </c>
      <c r="G308" s="12">
        <v>0.5</v>
      </c>
      <c r="K308" s="12">
        <v>0</v>
      </c>
      <c r="L308" t="s">
        <v>20</v>
      </c>
      <c r="M308" s="2">
        <v>1031.7</v>
      </c>
      <c r="N308" s="2">
        <v>42.5</v>
      </c>
      <c r="P308" s="2">
        <v>410.9</v>
      </c>
      <c r="Q308" s="13">
        <f t="shared" si="12"/>
        <v>0.38251722211878603</v>
      </c>
      <c r="R308" s="14">
        <f t="shared" si="13"/>
        <v>1485.1</v>
      </c>
      <c r="S308" s="15">
        <f t="shared" si="14"/>
        <v>1752.4179999999999</v>
      </c>
    </row>
    <row r="309" spans="1:19" x14ac:dyDescent="0.3">
      <c r="A309">
        <v>200010076</v>
      </c>
      <c r="B309">
        <v>273715040</v>
      </c>
      <c r="C309" s="11">
        <v>46230</v>
      </c>
      <c r="D309" s="1">
        <v>874257289454</v>
      </c>
      <c r="E309">
        <v>42633</v>
      </c>
      <c r="F309" t="s">
        <v>25</v>
      </c>
      <c r="G309" s="12">
        <v>0.5</v>
      </c>
      <c r="K309" s="12">
        <v>0</v>
      </c>
      <c r="L309" t="s">
        <v>20</v>
      </c>
      <c r="M309" s="2">
        <v>1031.7</v>
      </c>
      <c r="N309" s="2">
        <v>42.5</v>
      </c>
      <c r="P309" s="2">
        <v>410.9</v>
      </c>
      <c r="Q309" s="13">
        <f t="shared" si="12"/>
        <v>0.38251722211878603</v>
      </c>
      <c r="R309" s="14">
        <f t="shared" si="13"/>
        <v>1485.1</v>
      </c>
      <c r="S309" s="15">
        <f t="shared" si="14"/>
        <v>1752.4179999999999</v>
      </c>
    </row>
    <row r="310" spans="1:19" x14ac:dyDescent="0.3">
      <c r="A310">
        <v>200010076</v>
      </c>
      <c r="B310">
        <v>273715040</v>
      </c>
      <c r="C310" s="11">
        <v>46230</v>
      </c>
      <c r="D310" s="1">
        <v>874257290105</v>
      </c>
      <c r="E310">
        <v>41673</v>
      </c>
      <c r="F310" t="s">
        <v>25</v>
      </c>
      <c r="G310" s="12">
        <v>0.5</v>
      </c>
      <c r="K310" s="12">
        <v>0</v>
      </c>
      <c r="L310" t="s">
        <v>20</v>
      </c>
      <c r="M310" s="2">
        <v>1031.7</v>
      </c>
      <c r="N310" s="2">
        <v>42.5</v>
      </c>
      <c r="P310" s="2">
        <v>410.9</v>
      </c>
      <c r="Q310" s="13">
        <f t="shared" si="12"/>
        <v>0.38251722211878603</v>
      </c>
      <c r="R310" s="14">
        <f t="shared" si="13"/>
        <v>1485.1</v>
      </c>
      <c r="S310" s="15">
        <f t="shared" si="14"/>
        <v>1752.4179999999999</v>
      </c>
    </row>
    <row r="311" spans="1:19" x14ac:dyDescent="0.3">
      <c r="A311">
        <v>200010076</v>
      </c>
      <c r="B311">
        <v>273715040</v>
      </c>
      <c r="C311" s="11">
        <v>46230</v>
      </c>
      <c r="D311" s="1">
        <v>874257296835</v>
      </c>
      <c r="E311">
        <v>42632</v>
      </c>
      <c r="F311" t="s">
        <v>25</v>
      </c>
      <c r="G311" s="12">
        <v>0.5</v>
      </c>
      <c r="K311" s="12">
        <v>0</v>
      </c>
      <c r="L311" t="s">
        <v>20</v>
      </c>
      <c r="M311" s="2">
        <v>1031.7</v>
      </c>
      <c r="N311" s="2">
        <v>42.5</v>
      </c>
      <c r="P311" s="2">
        <v>410.9</v>
      </c>
      <c r="Q311" s="13">
        <f t="shared" si="12"/>
        <v>0.38251722211878603</v>
      </c>
      <c r="R311" s="14">
        <f t="shared" si="13"/>
        <v>1485.1</v>
      </c>
      <c r="S311" s="15">
        <f t="shared" si="14"/>
        <v>1752.4179999999999</v>
      </c>
    </row>
    <row r="312" spans="1:19" x14ac:dyDescent="0.3">
      <c r="A312">
        <v>200010076</v>
      </c>
      <c r="B312">
        <v>273715040</v>
      </c>
      <c r="C312" s="11">
        <v>46230</v>
      </c>
      <c r="D312" s="1">
        <v>874257305260</v>
      </c>
      <c r="E312">
        <v>42592</v>
      </c>
      <c r="F312" t="s">
        <v>25</v>
      </c>
      <c r="G312" s="12">
        <v>0.5</v>
      </c>
      <c r="K312" s="12">
        <v>0</v>
      </c>
      <c r="L312" t="s">
        <v>20</v>
      </c>
      <c r="M312" s="2">
        <v>1031.7</v>
      </c>
      <c r="N312" s="2">
        <v>42.5</v>
      </c>
      <c r="P312" s="2">
        <v>410.9</v>
      </c>
      <c r="Q312" s="13">
        <f t="shared" si="12"/>
        <v>0.38251722211878603</v>
      </c>
      <c r="R312" s="14">
        <f t="shared" si="13"/>
        <v>1485.1</v>
      </c>
      <c r="S312" s="15">
        <f t="shared" si="14"/>
        <v>1752.4179999999999</v>
      </c>
    </row>
    <row r="313" spans="1:19" x14ac:dyDescent="0.3">
      <c r="A313">
        <v>200010076</v>
      </c>
      <c r="B313">
        <v>273715040</v>
      </c>
      <c r="C313" s="11">
        <v>46230</v>
      </c>
      <c r="D313" s="1">
        <v>874257305546</v>
      </c>
      <c r="E313">
        <v>7871466</v>
      </c>
      <c r="F313" t="s">
        <v>25</v>
      </c>
      <c r="G313" s="12">
        <v>0.77</v>
      </c>
      <c r="K313" s="12">
        <v>0</v>
      </c>
      <c r="L313" t="s">
        <v>20</v>
      </c>
      <c r="M313" s="2">
        <v>1146.7</v>
      </c>
      <c r="N313" s="2">
        <v>66</v>
      </c>
      <c r="P313" s="2">
        <v>463.9</v>
      </c>
      <c r="Q313" s="13">
        <f t="shared" si="12"/>
        <v>0.38253483961408424</v>
      </c>
      <c r="R313" s="14">
        <f t="shared" si="13"/>
        <v>1676.6</v>
      </c>
      <c r="S313" s="15">
        <f t="shared" si="14"/>
        <v>1978.3879999999997</v>
      </c>
    </row>
    <row r="314" spans="1:19" x14ac:dyDescent="0.3">
      <c r="A314">
        <v>200010076</v>
      </c>
      <c r="B314">
        <v>273715040</v>
      </c>
      <c r="C314" s="11">
        <v>46230</v>
      </c>
      <c r="D314" s="1">
        <v>874257308821</v>
      </c>
      <c r="E314">
        <v>42631</v>
      </c>
      <c r="F314" t="s">
        <v>25</v>
      </c>
      <c r="G314" s="12">
        <v>0.5</v>
      </c>
      <c r="K314" s="12">
        <v>0</v>
      </c>
      <c r="L314" t="s">
        <v>20</v>
      </c>
      <c r="M314" s="2">
        <v>1031.7</v>
      </c>
      <c r="N314" s="2">
        <v>42.5</v>
      </c>
      <c r="P314" s="2">
        <v>410.9</v>
      </c>
      <c r="Q314" s="13">
        <f t="shared" si="12"/>
        <v>0.38251722211878603</v>
      </c>
      <c r="R314" s="14">
        <f t="shared" si="13"/>
        <v>1485.1</v>
      </c>
      <c r="S314" s="15">
        <f t="shared" si="14"/>
        <v>1752.4179999999999</v>
      </c>
    </row>
    <row r="315" spans="1:19" x14ac:dyDescent="0.3">
      <c r="A315">
        <v>200010076</v>
      </c>
      <c r="B315">
        <v>273715040</v>
      </c>
      <c r="C315" s="11">
        <v>46230</v>
      </c>
      <c r="D315" s="1">
        <v>874257310096</v>
      </c>
      <c r="E315">
        <v>42610</v>
      </c>
      <c r="F315" t="s">
        <v>25</v>
      </c>
      <c r="G315" s="12">
        <v>0.5</v>
      </c>
      <c r="K315" s="12">
        <v>0</v>
      </c>
      <c r="L315" t="s">
        <v>20</v>
      </c>
      <c r="M315" s="2">
        <v>1031.7</v>
      </c>
      <c r="N315" s="2">
        <v>42.5</v>
      </c>
      <c r="P315" s="2">
        <v>410.9</v>
      </c>
      <c r="Q315" s="13">
        <f t="shared" si="12"/>
        <v>0.38251722211878603</v>
      </c>
      <c r="R315" s="14">
        <f t="shared" si="13"/>
        <v>1485.1</v>
      </c>
      <c r="S315" s="15">
        <f t="shared" si="14"/>
        <v>1752.4179999999999</v>
      </c>
    </row>
    <row r="316" spans="1:19" x14ac:dyDescent="0.3">
      <c r="A316">
        <v>200010076</v>
      </c>
      <c r="B316">
        <v>273715040</v>
      </c>
      <c r="C316" s="11">
        <v>46230</v>
      </c>
      <c r="D316" s="1">
        <v>874257311324</v>
      </c>
      <c r="E316">
        <v>42596</v>
      </c>
      <c r="F316" t="s">
        <v>25</v>
      </c>
      <c r="G316" s="12">
        <v>0.5</v>
      </c>
      <c r="K316" s="12">
        <v>0</v>
      </c>
      <c r="L316" t="s">
        <v>20</v>
      </c>
      <c r="M316" s="2">
        <v>1031.7</v>
      </c>
      <c r="N316" s="2">
        <v>42.5</v>
      </c>
      <c r="P316" s="2">
        <v>410.9</v>
      </c>
      <c r="Q316" s="13">
        <f t="shared" si="12"/>
        <v>0.38251722211878603</v>
      </c>
      <c r="R316" s="14">
        <f t="shared" si="13"/>
        <v>1485.1</v>
      </c>
      <c r="S316" s="15">
        <f t="shared" si="14"/>
        <v>1752.4179999999999</v>
      </c>
    </row>
    <row r="317" spans="1:19" x14ac:dyDescent="0.3">
      <c r="A317">
        <v>200010076</v>
      </c>
      <c r="B317">
        <v>273715040</v>
      </c>
      <c r="C317" s="11">
        <v>46230</v>
      </c>
      <c r="D317" s="1">
        <v>874257313030</v>
      </c>
      <c r="E317">
        <v>42595</v>
      </c>
      <c r="F317" t="s">
        <v>25</v>
      </c>
      <c r="G317" s="12">
        <v>0.5</v>
      </c>
      <c r="K317" s="12">
        <v>0</v>
      </c>
      <c r="L317" t="s">
        <v>20</v>
      </c>
      <c r="M317" s="2">
        <v>1031.7</v>
      </c>
      <c r="N317" s="2">
        <v>42.5</v>
      </c>
      <c r="P317" s="2">
        <v>410.9</v>
      </c>
      <c r="Q317" s="13">
        <f t="shared" si="12"/>
        <v>0.38251722211878603</v>
      </c>
      <c r="R317" s="14">
        <f t="shared" si="13"/>
        <v>1485.1</v>
      </c>
      <c r="S317" s="15">
        <f t="shared" si="14"/>
        <v>1752.4179999999999</v>
      </c>
    </row>
    <row r="318" spans="1:19" x14ac:dyDescent="0.3">
      <c r="A318">
        <v>200010076</v>
      </c>
      <c r="B318">
        <v>273715040</v>
      </c>
      <c r="C318" s="11">
        <v>46230</v>
      </c>
      <c r="D318" s="1">
        <v>874257314985</v>
      </c>
      <c r="E318">
        <v>41665</v>
      </c>
      <c r="F318" t="s">
        <v>25</v>
      </c>
      <c r="G318" s="12">
        <v>0.5</v>
      </c>
      <c r="K318" s="12">
        <v>0</v>
      </c>
      <c r="L318" t="s">
        <v>20</v>
      </c>
      <c r="M318" s="2">
        <v>1031.7</v>
      </c>
      <c r="N318" s="2">
        <v>42.5</v>
      </c>
      <c r="P318" s="2">
        <v>410.9</v>
      </c>
      <c r="Q318" s="13">
        <f t="shared" si="12"/>
        <v>0.38251722211878603</v>
      </c>
      <c r="R318" s="14">
        <f t="shared" si="13"/>
        <v>1485.1</v>
      </c>
      <c r="S318" s="15">
        <f t="shared" si="14"/>
        <v>1752.4179999999999</v>
      </c>
    </row>
    <row r="319" spans="1:19" x14ac:dyDescent="0.3">
      <c r="A319">
        <v>200010076</v>
      </c>
      <c r="B319">
        <v>273715040</v>
      </c>
      <c r="C319" s="11">
        <v>46230</v>
      </c>
      <c r="D319" s="1">
        <v>874315061305</v>
      </c>
      <c r="E319">
        <v>42140</v>
      </c>
      <c r="F319" t="s">
        <v>28</v>
      </c>
      <c r="G319" s="12">
        <v>5.5</v>
      </c>
      <c r="H319">
        <v>49</v>
      </c>
      <c r="I319">
        <v>26</v>
      </c>
      <c r="J319">
        <v>23</v>
      </c>
      <c r="K319" s="12">
        <v>5.5</v>
      </c>
      <c r="L319" t="s">
        <v>20</v>
      </c>
      <c r="M319" s="2">
        <v>2494</v>
      </c>
      <c r="N319" s="2">
        <v>363</v>
      </c>
      <c r="O319" s="2">
        <v>180</v>
      </c>
      <c r="P319" s="2">
        <v>1100</v>
      </c>
      <c r="Q319" s="13">
        <f t="shared" si="12"/>
        <v>0.3621995390187685</v>
      </c>
      <c r="R319" s="14">
        <f t="shared" si="13"/>
        <v>4137</v>
      </c>
      <c r="S319" s="15">
        <f t="shared" si="14"/>
        <v>4881.66</v>
      </c>
    </row>
    <row r="320" spans="1:19" x14ac:dyDescent="0.3">
      <c r="A320">
        <v>200010076</v>
      </c>
      <c r="B320">
        <v>273715040</v>
      </c>
      <c r="C320" s="11">
        <v>46230</v>
      </c>
      <c r="D320" s="1">
        <v>874315066719</v>
      </c>
      <c r="E320">
        <v>42131</v>
      </c>
      <c r="F320" t="s">
        <v>28</v>
      </c>
      <c r="G320" s="12">
        <v>6</v>
      </c>
      <c r="H320">
        <v>52</v>
      </c>
      <c r="I320">
        <v>25</v>
      </c>
      <c r="J320">
        <v>25</v>
      </c>
      <c r="K320" s="12">
        <v>6</v>
      </c>
      <c r="L320" t="s">
        <v>20</v>
      </c>
      <c r="M320" s="2">
        <v>2609.1</v>
      </c>
      <c r="N320" s="2">
        <v>396</v>
      </c>
      <c r="O320" s="2">
        <v>180</v>
      </c>
      <c r="P320" s="2">
        <v>1157</v>
      </c>
      <c r="Q320" s="13">
        <f t="shared" si="12"/>
        <v>0.36325390097642146</v>
      </c>
      <c r="R320" s="14">
        <f t="shared" si="13"/>
        <v>4342.1000000000004</v>
      </c>
      <c r="S320" s="15">
        <f t="shared" si="14"/>
        <v>5123.6779999999999</v>
      </c>
    </row>
    <row r="321" spans="1:19" x14ac:dyDescent="0.3">
      <c r="A321">
        <v>200010076</v>
      </c>
      <c r="B321">
        <v>273715040</v>
      </c>
      <c r="C321" s="11">
        <v>46230</v>
      </c>
      <c r="D321" s="1">
        <v>874315071795</v>
      </c>
      <c r="E321">
        <v>40880</v>
      </c>
      <c r="F321" t="s">
        <v>28</v>
      </c>
      <c r="G321" s="12">
        <v>4</v>
      </c>
      <c r="H321">
        <v>52</v>
      </c>
      <c r="I321">
        <v>21</v>
      </c>
      <c r="J321">
        <v>19</v>
      </c>
      <c r="K321" s="12">
        <v>4</v>
      </c>
      <c r="L321" t="s">
        <v>20</v>
      </c>
      <c r="M321" s="2">
        <v>1966.1</v>
      </c>
      <c r="N321" s="2">
        <v>264</v>
      </c>
      <c r="O321" s="2">
        <v>180</v>
      </c>
      <c r="P321" s="2">
        <v>858.6</v>
      </c>
      <c r="Q321" s="13">
        <f t="shared" si="12"/>
        <v>0.35625077797601762</v>
      </c>
      <c r="R321" s="14">
        <f t="shared" si="13"/>
        <v>3268.7</v>
      </c>
      <c r="S321" s="15">
        <f t="shared" si="14"/>
        <v>3857.0659999999998</v>
      </c>
    </row>
    <row r="322" spans="1:19" x14ac:dyDescent="0.3">
      <c r="A322">
        <v>200010076</v>
      </c>
      <c r="B322">
        <v>273715040</v>
      </c>
      <c r="C322" s="11">
        <v>46230</v>
      </c>
      <c r="D322" s="1">
        <v>874315076216</v>
      </c>
      <c r="E322">
        <v>41816</v>
      </c>
      <c r="F322" t="s">
        <v>28</v>
      </c>
      <c r="G322" s="12">
        <v>6</v>
      </c>
      <c r="H322">
        <v>58</v>
      </c>
      <c r="I322">
        <v>26</v>
      </c>
      <c r="J322">
        <v>24</v>
      </c>
      <c r="K322" s="12">
        <v>6</v>
      </c>
      <c r="L322" t="s">
        <v>20</v>
      </c>
      <c r="M322" s="2">
        <v>2609.1</v>
      </c>
      <c r="N322" s="2">
        <v>396</v>
      </c>
      <c r="O322" s="2">
        <v>180</v>
      </c>
      <c r="P322" s="2">
        <v>1157</v>
      </c>
      <c r="Q322" s="13">
        <f t="shared" si="12"/>
        <v>0.36325390097642146</v>
      </c>
      <c r="R322" s="14">
        <f t="shared" si="13"/>
        <v>4342.1000000000004</v>
      </c>
      <c r="S322" s="15">
        <f t="shared" si="14"/>
        <v>5123.6779999999999</v>
      </c>
    </row>
    <row r="323" spans="1:19" x14ac:dyDescent="0.3">
      <c r="A323">
        <v>200010076</v>
      </c>
      <c r="B323">
        <v>273715040</v>
      </c>
      <c r="C323" s="11">
        <v>46230</v>
      </c>
      <c r="D323" s="1">
        <v>874315080274</v>
      </c>
      <c r="E323">
        <v>42065</v>
      </c>
      <c r="F323" t="s">
        <v>28</v>
      </c>
      <c r="G323" s="12">
        <v>5</v>
      </c>
      <c r="H323">
        <v>49</v>
      </c>
      <c r="I323">
        <v>24</v>
      </c>
      <c r="J323">
        <v>23</v>
      </c>
      <c r="K323" s="12">
        <v>5</v>
      </c>
      <c r="L323" t="s">
        <v>20</v>
      </c>
      <c r="M323" s="2">
        <v>2231.6999999999998</v>
      </c>
      <c r="N323" s="2">
        <v>330</v>
      </c>
      <c r="O323" s="2">
        <v>180</v>
      </c>
      <c r="P323" s="2">
        <v>986.3</v>
      </c>
      <c r="Q323" s="13">
        <f t="shared" si="12"/>
        <v>0.35974030710872817</v>
      </c>
      <c r="R323" s="14">
        <f t="shared" si="13"/>
        <v>3728</v>
      </c>
      <c r="S323" s="15">
        <f t="shared" si="14"/>
        <v>4399.04</v>
      </c>
    </row>
    <row r="324" spans="1:19" x14ac:dyDescent="0.3">
      <c r="A324">
        <v>200010076</v>
      </c>
      <c r="B324">
        <v>273715040</v>
      </c>
      <c r="C324" s="11">
        <v>46230</v>
      </c>
      <c r="D324" s="1">
        <v>874315082450</v>
      </c>
      <c r="E324">
        <v>40938</v>
      </c>
      <c r="F324" t="s">
        <v>28</v>
      </c>
      <c r="G324" s="12">
        <v>4.5</v>
      </c>
      <c r="H324">
        <v>51</v>
      </c>
      <c r="I324">
        <v>23</v>
      </c>
      <c r="J324">
        <v>22</v>
      </c>
      <c r="K324" s="12">
        <v>4.5</v>
      </c>
      <c r="L324" t="s">
        <v>20</v>
      </c>
      <c r="M324" s="2">
        <v>2098.9</v>
      </c>
      <c r="N324" s="2">
        <v>297</v>
      </c>
      <c r="O324" s="2">
        <v>180</v>
      </c>
      <c r="P324" s="2">
        <v>922.4</v>
      </c>
      <c r="Q324" s="13">
        <f t="shared" si="12"/>
        <v>0.35808843511005861</v>
      </c>
      <c r="R324" s="14">
        <f t="shared" si="13"/>
        <v>3498.3</v>
      </c>
      <c r="S324" s="15">
        <f t="shared" si="14"/>
        <v>4127.9939999999997</v>
      </c>
    </row>
    <row r="325" spans="1:19" x14ac:dyDescent="0.3">
      <c r="A325">
        <v>200010076</v>
      </c>
      <c r="B325">
        <v>273715040</v>
      </c>
      <c r="C325" s="11">
        <v>46230</v>
      </c>
      <c r="D325" s="1">
        <v>874315087224</v>
      </c>
      <c r="E325">
        <v>42118</v>
      </c>
      <c r="F325" t="s">
        <v>28</v>
      </c>
      <c r="G325" s="12">
        <v>5</v>
      </c>
      <c r="H325">
        <v>47</v>
      </c>
      <c r="I325">
        <v>25</v>
      </c>
      <c r="J325">
        <v>24</v>
      </c>
      <c r="K325" s="12">
        <v>5</v>
      </c>
      <c r="L325" t="s">
        <v>20</v>
      </c>
      <c r="M325" s="2">
        <v>2231.6999999999998</v>
      </c>
      <c r="N325" s="2">
        <v>330</v>
      </c>
      <c r="O325" s="2">
        <v>180</v>
      </c>
      <c r="P325" s="2">
        <v>986.3</v>
      </c>
      <c r="Q325" s="13">
        <f t="shared" si="12"/>
        <v>0.35974030710872817</v>
      </c>
      <c r="R325" s="14">
        <f t="shared" si="13"/>
        <v>3728</v>
      </c>
      <c r="S325" s="15">
        <f t="shared" si="14"/>
        <v>4399.04</v>
      </c>
    </row>
    <row r="326" spans="1:19" x14ac:dyDescent="0.3">
      <c r="A326">
        <v>200010076</v>
      </c>
      <c r="B326">
        <v>273715040</v>
      </c>
      <c r="C326" s="11">
        <v>46230</v>
      </c>
      <c r="D326" s="1">
        <v>874315094362</v>
      </c>
      <c r="E326">
        <v>41653</v>
      </c>
      <c r="F326" t="s">
        <v>28</v>
      </c>
      <c r="G326" s="12">
        <v>4.5</v>
      </c>
      <c r="H326">
        <v>43</v>
      </c>
      <c r="I326">
        <v>24</v>
      </c>
      <c r="J326">
        <v>23</v>
      </c>
      <c r="K326" s="12">
        <v>4.5</v>
      </c>
      <c r="L326" t="s">
        <v>20</v>
      </c>
      <c r="M326" s="2">
        <v>2098.9</v>
      </c>
      <c r="N326" s="2">
        <v>297</v>
      </c>
      <c r="O326" s="2">
        <v>180</v>
      </c>
      <c r="P326" s="2">
        <v>922.4</v>
      </c>
      <c r="Q326" s="13">
        <f t="shared" si="12"/>
        <v>0.35808843511005861</v>
      </c>
      <c r="R326" s="14">
        <f t="shared" si="13"/>
        <v>3498.3</v>
      </c>
      <c r="S326" s="15">
        <f t="shared" si="14"/>
        <v>4127.9939999999997</v>
      </c>
    </row>
    <row r="327" spans="1:19" x14ac:dyDescent="0.3">
      <c r="A327">
        <v>200010076</v>
      </c>
      <c r="B327">
        <v>273715040</v>
      </c>
      <c r="C327" s="11">
        <v>46230</v>
      </c>
      <c r="D327" s="1">
        <v>874315097340</v>
      </c>
      <c r="E327">
        <v>40066</v>
      </c>
      <c r="F327" t="s">
        <v>28</v>
      </c>
      <c r="G327" s="12">
        <v>3.5</v>
      </c>
      <c r="H327">
        <v>41</v>
      </c>
      <c r="I327">
        <v>22</v>
      </c>
      <c r="J327">
        <v>21</v>
      </c>
      <c r="K327" s="12">
        <v>3.5</v>
      </c>
      <c r="L327" t="s">
        <v>20</v>
      </c>
      <c r="M327" s="2">
        <v>1833.3</v>
      </c>
      <c r="N327" s="2">
        <v>231</v>
      </c>
      <c r="O327" s="2">
        <v>180</v>
      </c>
      <c r="P327" s="2">
        <v>794.8</v>
      </c>
      <c r="Q327" s="13">
        <f t="shared" si="12"/>
        <v>0.35414160317248133</v>
      </c>
      <c r="R327" s="14">
        <f t="shared" si="13"/>
        <v>3039.1000000000004</v>
      </c>
      <c r="S327" s="15">
        <f t="shared" si="14"/>
        <v>3586.1380000000004</v>
      </c>
    </row>
    <row r="328" spans="1:19" x14ac:dyDescent="0.3">
      <c r="A328">
        <v>200010076</v>
      </c>
      <c r="B328">
        <v>273715040</v>
      </c>
      <c r="C328" s="11">
        <v>46230</v>
      </c>
      <c r="D328" s="1">
        <v>874315103224</v>
      </c>
      <c r="E328">
        <v>41831</v>
      </c>
      <c r="F328" t="s">
        <v>28</v>
      </c>
      <c r="G328" s="12">
        <v>3.5</v>
      </c>
      <c r="H328">
        <v>48</v>
      </c>
      <c r="I328">
        <v>21</v>
      </c>
      <c r="J328">
        <v>20</v>
      </c>
      <c r="K328" s="12">
        <v>3.5</v>
      </c>
      <c r="L328" t="s">
        <v>20</v>
      </c>
      <c r="M328" s="2">
        <v>1833.3</v>
      </c>
      <c r="N328" s="2">
        <v>231</v>
      </c>
      <c r="O328" s="2">
        <v>180</v>
      </c>
      <c r="P328" s="2">
        <v>794.8</v>
      </c>
      <c r="Q328" s="13">
        <f t="shared" si="12"/>
        <v>0.35414160317248133</v>
      </c>
      <c r="R328" s="14">
        <f t="shared" si="13"/>
        <v>3039.1000000000004</v>
      </c>
      <c r="S328" s="15">
        <f t="shared" si="14"/>
        <v>3586.1380000000004</v>
      </c>
    </row>
    <row r="329" spans="1:19" x14ac:dyDescent="0.3">
      <c r="A329">
        <v>200010076</v>
      </c>
      <c r="B329">
        <v>273715040</v>
      </c>
      <c r="C329" s="11">
        <v>46230</v>
      </c>
      <c r="D329" s="1">
        <v>874315105363</v>
      </c>
      <c r="E329">
        <v>41595</v>
      </c>
      <c r="F329" t="s">
        <v>28</v>
      </c>
      <c r="G329" s="12">
        <v>6</v>
      </c>
      <c r="H329">
        <v>56</v>
      </c>
      <c r="I329">
        <v>25</v>
      </c>
      <c r="J329">
        <v>24</v>
      </c>
      <c r="K329" s="12">
        <v>6</v>
      </c>
      <c r="L329" t="s">
        <v>20</v>
      </c>
      <c r="M329" s="2">
        <v>2609.1</v>
      </c>
      <c r="N329" s="2">
        <v>396</v>
      </c>
      <c r="O329" s="2">
        <v>180</v>
      </c>
      <c r="P329" s="2">
        <v>1157</v>
      </c>
      <c r="Q329" s="13">
        <f t="shared" ref="Q329:Q392" si="15">+P329/SUM(M329:O329)</f>
        <v>0.36325390097642146</v>
      </c>
      <c r="R329" s="14">
        <f t="shared" ref="R329:R392" si="16">SUM(M329:P329)</f>
        <v>4342.1000000000004</v>
      </c>
      <c r="S329" s="15">
        <f t="shared" ref="S329:S392" si="17">+R329*1.18</f>
        <v>5123.6779999999999</v>
      </c>
    </row>
    <row r="330" spans="1:19" x14ac:dyDescent="0.3">
      <c r="A330">
        <v>200010076</v>
      </c>
      <c r="B330">
        <v>273715040</v>
      </c>
      <c r="C330" s="11">
        <v>46230</v>
      </c>
      <c r="D330" s="1">
        <v>874315113133</v>
      </c>
      <c r="E330">
        <v>41361</v>
      </c>
      <c r="F330" t="s">
        <v>28</v>
      </c>
      <c r="G330" s="12">
        <v>4</v>
      </c>
      <c r="H330">
        <v>45</v>
      </c>
      <c r="I330">
        <v>23</v>
      </c>
      <c r="J330">
        <v>21</v>
      </c>
      <c r="K330" s="12">
        <v>4</v>
      </c>
      <c r="L330" t="s">
        <v>20</v>
      </c>
      <c r="M330" s="2">
        <v>1966.1</v>
      </c>
      <c r="N330" s="2">
        <v>264</v>
      </c>
      <c r="O330" s="2">
        <v>180</v>
      </c>
      <c r="P330" s="2">
        <v>858.6</v>
      </c>
      <c r="Q330" s="13">
        <f t="shared" si="15"/>
        <v>0.35625077797601762</v>
      </c>
      <c r="R330" s="14">
        <f t="shared" si="16"/>
        <v>3268.7</v>
      </c>
      <c r="S330" s="15">
        <f t="shared" si="17"/>
        <v>3857.0659999999998</v>
      </c>
    </row>
    <row r="331" spans="1:19" x14ac:dyDescent="0.3">
      <c r="A331">
        <v>200010076</v>
      </c>
      <c r="B331">
        <v>273715040</v>
      </c>
      <c r="C331" s="11">
        <v>46230</v>
      </c>
      <c r="D331" s="1">
        <v>874315118385</v>
      </c>
      <c r="E331">
        <v>40416</v>
      </c>
      <c r="F331" t="s">
        <v>28</v>
      </c>
      <c r="G331" s="12">
        <v>5</v>
      </c>
      <c r="H331">
        <v>56</v>
      </c>
      <c r="I331">
        <v>22</v>
      </c>
      <c r="J331">
        <v>21</v>
      </c>
      <c r="K331" s="12">
        <v>5</v>
      </c>
      <c r="L331" t="s">
        <v>20</v>
      </c>
      <c r="M331" s="2">
        <v>2231.6999999999998</v>
      </c>
      <c r="N331" s="2">
        <v>330</v>
      </c>
      <c r="O331" s="2">
        <v>180</v>
      </c>
      <c r="P331" s="2">
        <v>986.3</v>
      </c>
      <c r="Q331" s="13">
        <f t="shared" si="15"/>
        <v>0.35974030710872817</v>
      </c>
      <c r="R331" s="14">
        <f t="shared" si="16"/>
        <v>3728</v>
      </c>
      <c r="S331" s="15">
        <f t="shared" si="17"/>
        <v>4399.04</v>
      </c>
    </row>
    <row r="332" spans="1:19" x14ac:dyDescent="0.3">
      <c r="A332">
        <v>200010076</v>
      </c>
      <c r="B332">
        <v>273715040</v>
      </c>
      <c r="C332" s="11">
        <v>46230</v>
      </c>
      <c r="D332" s="1">
        <v>874315122892</v>
      </c>
      <c r="E332">
        <v>41826</v>
      </c>
      <c r="F332" t="s">
        <v>28</v>
      </c>
      <c r="G332" s="12">
        <v>4.5</v>
      </c>
      <c r="H332">
        <v>66</v>
      </c>
      <c r="I332">
        <v>20</v>
      </c>
      <c r="J332">
        <v>19</v>
      </c>
      <c r="K332" s="12">
        <v>4.5</v>
      </c>
      <c r="L332" t="s">
        <v>20</v>
      </c>
      <c r="M332" s="2">
        <v>2098.9</v>
      </c>
      <c r="N332" s="2">
        <v>297</v>
      </c>
      <c r="O332" s="2">
        <v>180</v>
      </c>
      <c r="P332" s="2">
        <v>922.4</v>
      </c>
      <c r="Q332" s="13">
        <f t="shared" si="15"/>
        <v>0.35808843511005861</v>
      </c>
      <c r="R332" s="14">
        <f t="shared" si="16"/>
        <v>3498.3</v>
      </c>
      <c r="S332" s="15">
        <f t="shared" si="17"/>
        <v>4127.9939999999997</v>
      </c>
    </row>
    <row r="333" spans="1:19" x14ac:dyDescent="0.3">
      <c r="A333">
        <v>200010076</v>
      </c>
      <c r="B333">
        <v>273715040</v>
      </c>
      <c r="C333" s="11">
        <v>46230</v>
      </c>
      <c r="D333" s="1">
        <v>874315130272</v>
      </c>
      <c r="E333">
        <v>41782</v>
      </c>
      <c r="F333" t="s">
        <v>28</v>
      </c>
      <c r="G333" s="12">
        <v>5.5</v>
      </c>
      <c r="H333">
        <v>54</v>
      </c>
      <c r="I333">
        <v>25</v>
      </c>
      <c r="J333">
        <v>22</v>
      </c>
      <c r="K333" s="12">
        <v>5.5</v>
      </c>
      <c r="L333" t="s">
        <v>20</v>
      </c>
      <c r="M333" s="2">
        <v>2494</v>
      </c>
      <c r="N333" s="2">
        <v>363</v>
      </c>
      <c r="O333" s="2">
        <v>180</v>
      </c>
      <c r="P333" s="2">
        <v>1100</v>
      </c>
      <c r="Q333" s="13">
        <f t="shared" si="15"/>
        <v>0.3621995390187685</v>
      </c>
      <c r="R333" s="14">
        <f t="shared" si="16"/>
        <v>4137</v>
      </c>
      <c r="S333" s="15">
        <f t="shared" si="17"/>
        <v>4881.66</v>
      </c>
    </row>
    <row r="334" spans="1:19" x14ac:dyDescent="0.3">
      <c r="A334">
        <v>200010076</v>
      </c>
      <c r="B334">
        <v>273715040</v>
      </c>
      <c r="C334" s="11">
        <v>46230</v>
      </c>
      <c r="D334" s="1">
        <v>874315135610</v>
      </c>
      <c r="E334">
        <v>41645</v>
      </c>
      <c r="F334" t="s">
        <v>28</v>
      </c>
      <c r="G334" s="12">
        <v>7.5</v>
      </c>
      <c r="H334">
        <v>52</v>
      </c>
      <c r="I334">
        <v>29</v>
      </c>
      <c r="J334">
        <v>29</v>
      </c>
      <c r="K334" s="12">
        <v>7.5</v>
      </c>
      <c r="L334" t="s">
        <v>20</v>
      </c>
      <c r="M334" s="2">
        <v>2954.2</v>
      </c>
      <c r="N334" s="2">
        <v>495</v>
      </c>
      <c r="O334" s="2">
        <v>180</v>
      </c>
      <c r="P334" s="2">
        <v>1327.9</v>
      </c>
      <c r="Q334" s="13">
        <f t="shared" si="15"/>
        <v>0.36589330982034612</v>
      </c>
      <c r="R334" s="14">
        <f t="shared" si="16"/>
        <v>4957.1000000000004</v>
      </c>
      <c r="S334" s="15">
        <f t="shared" si="17"/>
        <v>5849.3779999999997</v>
      </c>
    </row>
    <row r="335" spans="1:19" x14ac:dyDescent="0.3">
      <c r="A335">
        <v>200010076</v>
      </c>
      <c r="B335">
        <v>273715040</v>
      </c>
      <c r="C335" s="11">
        <v>46230</v>
      </c>
      <c r="D335" s="1">
        <v>874315140550</v>
      </c>
      <c r="E335">
        <v>41436</v>
      </c>
      <c r="F335" t="s">
        <v>28</v>
      </c>
      <c r="G335" s="12">
        <v>4.5</v>
      </c>
      <c r="H335">
        <v>41</v>
      </c>
      <c r="I335">
        <v>25</v>
      </c>
      <c r="J335">
        <v>24</v>
      </c>
      <c r="K335" s="12">
        <v>4.5</v>
      </c>
      <c r="L335" t="s">
        <v>20</v>
      </c>
      <c r="M335" s="2">
        <v>2098.9</v>
      </c>
      <c r="N335" s="2">
        <v>297</v>
      </c>
      <c r="O335" s="2">
        <v>180</v>
      </c>
      <c r="P335" s="2">
        <v>922.4</v>
      </c>
      <c r="Q335" s="13">
        <f t="shared" si="15"/>
        <v>0.35808843511005861</v>
      </c>
      <c r="R335" s="14">
        <f t="shared" si="16"/>
        <v>3498.3</v>
      </c>
      <c r="S335" s="15">
        <f t="shared" si="17"/>
        <v>4127.9939999999997</v>
      </c>
    </row>
    <row r="336" spans="1:19" x14ac:dyDescent="0.3">
      <c r="A336">
        <v>200010076</v>
      </c>
      <c r="B336">
        <v>273715040</v>
      </c>
      <c r="C336" s="11">
        <v>46230</v>
      </c>
      <c r="D336" s="1">
        <v>874315145389</v>
      </c>
      <c r="E336">
        <v>40598</v>
      </c>
      <c r="F336" t="s">
        <v>28</v>
      </c>
      <c r="G336" s="12">
        <v>3.5</v>
      </c>
      <c r="H336">
        <v>44</v>
      </c>
      <c r="I336">
        <v>21</v>
      </c>
      <c r="J336">
        <v>20</v>
      </c>
      <c r="K336" s="12">
        <v>3.5</v>
      </c>
      <c r="L336" t="s">
        <v>20</v>
      </c>
      <c r="M336" s="2">
        <v>1833.3</v>
      </c>
      <c r="N336" s="2">
        <v>231</v>
      </c>
      <c r="O336" s="2">
        <v>180</v>
      </c>
      <c r="P336" s="2">
        <v>794.8</v>
      </c>
      <c r="Q336" s="13">
        <f t="shared" si="15"/>
        <v>0.35414160317248133</v>
      </c>
      <c r="R336" s="14">
        <f t="shared" si="16"/>
        <v>3039.1000000000004</v>
      </c>
      <c r="S336" s="15">
        <f t="shared" si="17"/>
        <v>3586.1380000000004</v>
      </c>
    </row>
    <row r="337" spans="1:19" x14ac:dyDescent="0.3">
      <c r="A337">
        <v>200010076</v>
      </c>
      <c r="B337">
        <v>273715040</v>
      </c>
      <c r="C337" s="11">
        <v>46230</v>
      </c>
      <c r="D337" s="1">
        <v>874315150046</v>
      </c>
      <c r="E337">
        <v>39912</v>
      </c>
      <c r="F337" t="s">
        <v>28</v>
      </c>
      <c r="G337" s="12">
        <v>12.5</v>
      </c>
      <c r="H337">
        <v>62</v>
      </c>
      <c r="I337">
        <v>34</v>
      </c>
      <c r="J337">
        <v>34</v>
      </c>
      <c r="K337" s="12">
        <v>12.5</v>
      </c>
      <c r="L337" t="s">
        <v>20</v>
      </c>
      <c r="M337" s="2">
        <v>5257.8</v>
      </c>
      <c r="N337" s="2">
        <v>825</v>
      </c>
      <c r="O337" s="2">
        <v>180</v>
      </c>
      <c r="P337" s="2">
        <v>2341.9</v>
      </c>
      <c r="Q337" s="13">
        <f t="shared" si="15"/>
        <v>0.37393817461838158</v>
      </c>
      <c r="R337" s="14">
        <f t="shared" si="16"/>
        <v>8604.7000000000007</v>
      </c>
      <c r="S337" s="15">
        <f t="shared" si="17"/>
        <v>10153.546</v>
      </c>
    </row>
    <row r="338" spans="1:19" x14ac:dyDescent="0.3">
      <c r="A338">
        <v>200010076</v>
      </c>
      <c r="B338">
        <v>273715040</v>
      </c>
      <c r="C338" s="11">
        <v>46230</v>
      </c>
      <c r="D338" s="1">
        <v>874315153115</v>
      </c>
      <c r="E338">
        <v>38433</v>
      </c>
      <c r="F338" t="s">
        <v>28</v>
      </c>
      <c r="G338" s="12">
        <v>11</v>
      </c>
      <c r="H338">
        <v>66</v>
      </c>
      <c r="I338">
        <v>32</v>
      </c>
      <c r="J338">
        <v>31</v>
      </c>
      <c r="K338" s="12">
        <v>11</v>
      </c>
      <c r="L338" t="s">
        <v>20</v>
      </c>
      <c r="M338" s="2">
        <v>4745.8</v>
      </c>
      <c r="N338" s="2">
        <v>726</v>
      </c>
      <c r="O338" s="2">
        <v>180</v>
      </c>
      <c r="P338" s="2">
        <v>2106.6</v>
      </c>
      <c r="Q338" s="13">
        <f t="shared" si="15"/>
        <v>0.37273081142290948</v>
      </c>
      <c r="R338" s="14">
        <f t="shared" si="16"/>
        <v>7758.4</v>
      </c>
      <c r="S338" s="15">
        <f t="shared" si="17"/>
        <v>9154.9119999999984</v>
      </c>
    </row>
    <row r="339" spans="1:19" x14ac:dyDescent="0.3">
      <c r="A339">
        <v>200010076</v>
      </c>
      <c r="B339">
        <v>273715040</v>
      </c>
      <c r="C339" s="11">
        <v>46230</v>
      </c>
      <c r="D339" s="1">
        <v>874315159710</v>
      </c>
      <c r="E339">
        <v>40386</v>
      </c>
      <c r="F339" t="s">
        <v>28</v>
      </c>
      <c r="G339" s="12">
        <v>7.5</v>
      </c>
      <c r="H339">
        <v>56</v>
      </c>
      <c r="I339">
        <v>28</v>
      </c>
      <c r="J339">
        <v>27</v>
      </c>
      <c r="K339" s="12">
        <v>7.5</v>
      </c>
      <c r="L339" t="s">
        <v>20</v>
      </c>
      <c r="M339" s="2">
        <v>2954.2</v>
      </c>
      <c r="N339" s="2">
        <v>495</v>
      </c>
      <c r="O339" s="2">
        <v>180</v>
      </c>
      <c r="P339" s="2">
        <v>1327.9</v>
      </c>
      <c r="Q339" s="13">
        <f t="shared" si="15"/>
        <v>0.36589330982034612</v>
      </c>
      <c r="R339" s="14">
        <f t="shared" si="16"/>
        <v>4957.1000000000004</v>
      </c>
      <c r="S339" s="15">
        <f t="shared" si="17"/>
        <v>5849.3779999999997</v>
      </c>
    </row>
    <row r="340" spans="1:19" x14ac:dyDescent="0.3">
      <c r="A340">
        <v>200010076</v>
      </c>
      <c r="B340">
        <v>273715040</v>
      </c>
      <c r="C340" s="11">
        <v>46230</v>
      </c>
      <c r="D340" s="1">
        <v>874315165277</v>
      </c>
      <c r="E340">
        <v>41703</v>
      </c>
      <c r="F340" t="s">
        <v>28</v>
      </c>
      <c r="G340" s="12">
        <v>4</v>
      </c>
      <c r="H340">
        <v>53</v>
      </c>
      <c r="I340">
        <v>21</v>
      </c>
      <c r="J340">
        <v>20</v>
      </c>
      <c r="K340" s="12">
        <v>4</v>
      </c>
      <c r="L340" t="s">
        <v>20</v>
      </c>
      <c r="M340" s="2">
        <v>1966.1</v>
      </c>
      <c r="N340" s="2">
        <v>264</v>
      </c>
      <c r="O340" s="2">
        <v>180</v>
      </c>
      <c r="P340" s="2">
        <v>858.6</v>
      </c>
      <c r="Q340" s="13">
        <f t="shared" si="15"/>
        <v>0.35625077797601762</v>
      </c>
      <c r="R340" s="14">
        <f t="shared" si="16"/>
        <v>3268.7</v>
      </c>
      <c r="S340" s="15">
        <f t="shared" si="17"/>
        <v>3857.0659999999998</v>
      </c>
    </row>
    <row r="341" spans="1:19" x14ac:dyDescent="0.3">
      <c r="A341">
        <v>200010076</v>
      </c>
      <c r="B341">
        <v>273715040</v>
      </c>
      <c r="C341" s="11">
        <v>46230</v>
      </c>
      <c r="D341" s="1">
        <v>874315170287</v>
      </c>
      <c r="E341">
        <v>42301</v>
      </c>
      <c r="F341" t="s">
        <v>28</v>
      </c>
      <c r="G341" s="12">
        <v>3.5</v>
      </c>
      <c r="H341">
        <v>43</v>
      </c>
      <c r="I341">
        <v>21</v>
      </c>
      <c r="J341">
        <v>20</v>
      </c>
      <c r="K341" s="12">
        <v>3.5</v>
      </c>
      <c r="L341" t="s">
        <v>20</v>
      </c>
      <c r="M341" s="2">
        <v>1833.3</v>
      </c>
      <c r="N341" s="2">
        <v>231</v>
      </c>
      <c r="O341" s="2">
        <v>180</v>
      </c>
      <c r="P341" s="2">
        <v>794.8</v>
      </c>
      <c r="Q341" s="13">
        <f t="shared" si="15"/>
        <v>0.35414160317248133</v>
      </c>
      <c r="R341" s="14">
        <f t="shared" si="16"/>
        <v>3039.1000000000004</v>
      </c>
      <c r="S341" s="15">
        <f t="shared" si="17"/>
        <v>3586.1380000000004</v>
      </c>
    </row>
    <row r="342" spans="1:19" x14ac:dyDescent="0.3">
      <c r="A342">
        <v>200010076</v>
      </c>
      <c r="B342">
        <v>273715040</v>
      </c>
      <c r="C342" s="11">
        <v>46230</v>
      </c>
      <c r="D342" s="1">
        <v>874315174580</v>
      </c>
      <c r="E342">
        <v>41400</v>
      </c>
      <c r="F342" t="s">
        <v>28</v>
      </c>
      <c r="G342" s="12">
        <v>6</v>
      </c>
      <c r="H342">
        <v>59</v>
      </c>
      <c r="I342">
        <v>25</v>
      </c>
      <c r="J342">
        <v>24</v>
      </c>
      <c r="K342" s="12">
        <v>6</v>
      </c>
      <c r="L342" t="s">
        <v>20</v>
      </c>
      <c r="M342" s="2">
        <v>2609.1</v>
      </c>
      <c r="N342" s="2">
        <v>396</v>
      </c>
      <c r="O342" s="2">
        <v>180</v>
      </c>
      <c r="P342" s="2">
        <v>1157</v>
      </c>
      <c r="Q342" s="13">
        <f t="shared" si="15"/>
        <v>0.36325390097642146</v>
      </c>
      <c r="R342" s="14">
        <f t="shared" si="16"/>
        <v>4342.1000000000004</v>
      </c>
      <c r="S342" s="15">
        <f t="shared" si="17"/>
        <v>5123.6779999999999</v>
      </c>
    </row>
    <row r="343" spans="1:19" x14ac:dyDescent="0.3">
      <c r="A343">
        <v>200010076</v>
      </c>
      <c r="B343">
        <v>273715040</v>
      </c>
      <c r="C343" s="11">
        <v>46230</v>
      </c>
      <c r="D343" s="1">
        <v>874315179674</v>
      </c>
      <c r="E343">
        <v>40417</v>
      </c>
      <c r="F343" t="s">
        <v>28</v>
      </c>
      <c r="G343" s="12">
        <v>15</v>
      </c>
      <c r="H343">
        <v>76</v>
      </c>
      <c r="I343">
        <v>34</v>
      </c>
      <c r="J343">
        <v>34</v>
      </c>
      <c r="K343" s="12">
        <v>15</v>
      </c>
      <c r="L343" t="s">
        <v>20</v>
      </c>
      <c r="M343" s="2">
        <v>6111.3</v>
      </c>
      <c r="N343" s="2">
        <v>990</v>
      </c>
      <c r="O343" s="2">
        <v>180</v>
      </c>
      <c r="P343" s="2">
        <v>2734</v>
      </c>
      <c r="Q343" s="13">
        <f t="shared" si="15"/>
        <v>0.37548240012085754</v>
      </c>
      <c r="R343" s="14">
        <f t="shared" si="16"/>
        <v>10015.299999999999</v>
      </c>
      <c r="S343" s="15">
        <f t="shared" si="17"/>
        <v>11818.053999999998</v>
      </c>
    </row>
    <row r="344" spans="1:19" x14ac:dyDescent="0.3">
      <c r="A344">
        <v>200010076</v>
      </c>
      <c r="B344">
        <v>273715040</v>
      </c>
      <c r="C344" s="11">
        <v>46230</v>
      </c>
      <c r="D344" s="1">
        <v>874315183254</v>
      </c>
      <c r="E344">
        <v>41446</v>
      </c>
      <c r="F344" t="s">
        <v>28</v>
      </c>
      <c r="G344" s="12">
        <v>5</v>
      </c>
      <c r="H344">
        <v>51</v>
      </c>
      <c r="I344">
        <v>24</v>
      </c>
      <c r="J344">
        <v>23</v>
      </c>
      <c r="K344" s="12">
        <v>5</v>
      </c>
      <c r="L344" t="s">
        <v>20</v>
      </c>
      <c r="M344" s="2">
        <v>2231.6999999999998</v>
      </c>
      <c r="N344" s="2">
        <v>330</v>
      </c>
      <c r="O344" s="2">
        <v>180</v>
      </c>
      <c r="P344" s="2">
        <v>986.3</v>
      </c>
      <c r="Q344" s="13">
        <f t="shared" si="15"/>
        <v>0.35974030710872817</v>
      </c>
      <c r="R344" s="14">
        <f t="shared" si="16"/>
        <v>3728</v>
      </c>
      <c r="S344" s="15">
        <f t="shared" si="17"/>
        <v>4399.04</v>
      </c>
    </row>
    <row r="345" spans="1:19" x14ac:dyDescent="0.3">
      <c r="A345">
        <v>200010076</v>
      </c>
      <c r="B345">
        <v>273715040</v>
      </c>
      <c r="C345" s="11">
        <v>46230</v>
      </c>
      <c r="D345" s="1">
        <v>874315190690</v>
      </c>
      <c r="E345">
        <v>41584</v>
      </c>
      <c r="F345" t="s">
        <v>28</v>
      </c>
      <c r="G345" s="12">
        <v>16</v>
      </c>
      <c r="H345">
        <v>90</v>
      </c>
      <c r="I345">
        <v>33</v>
      </c>
      <c r="J345">
        <v>32</v>
      </c>
      <c r="K345" s="12">
        <v>16</v>
      </c>
      <c r="L345" t="s">
        <v>20</v>
      </c>
      <c r="M345" s="2">
        <v>6452.6</v>
      </c>
      <c r="N345" s="2">
        <v>1056</v>
      </c>
      <c r="O345" s="2">
        <v>180</v>
      </c>
      <c r="P345" s="2">
        <v>2890.8</v>
      </c>
      <c r="Q345" s="13">
        <f t="shared" si="15"/>
        <v>0.37598522487839137</v>
      </c>
      <c r="R345" s="14">
        <f t="shared" si="16"/>
        <v>10579.400000000001</v>
      </c>
      <c r="S345" s="15">
        <f t="shared" si="17"/>
        <v>12483.692000000001</v>
      </c>
    </row>
    <row r="346" spans="1:19" x14ac:dyDescent="0.3">
      <c r="A346">
        <v>200010076</v>
      </c>
      <c r="B346">
        <v>273715040</v>
      </c>
      <c r="C346" s="11">
        <v>46230</v>
      </c>
      <c r="D346" s="1">
        <v>874315194917</v>
      </c>
      <c r="E346">
        <v>40180</v>
      </c>
      <c r="F346" t="s">
        <v>28</v>
      </c>
      <c r="G346" s="12">
        <v>10</v>
      </c>
      <c r="H346">
        <v>79</v>
      </c>
      <c r="I346">
        <v>29</v>
      </c>
      <c r="J346">
        <v>26</v>
      </c>
      <c r="K346" s="12">
        <v>10</v>
      </c>
      <c r="L346" t="s">
        <v>20</v>
      </c>
      <c r="M346" s="2">
        <v>3529.5</v>
      </c>
      <c r="N346" s="2">
        <v>660</v>
      </c>
      <c r="O346" s="2">
        <v>180</v>
      </c>
      <c r="P346" s="2">
        <v>1613</v>
      </c>
      <c r="Q346" s="13">
        <f t="shared" si="15"/>
        <v>0.3691497883052981</v>
      </c>
      <c r="R346" s="14">
        <f t="shared" si="16"/>
        <v>5982.5</v>
      </c>
      <c r="S346" s="15">
        <f t="shared" si="17"/>
        <v>7059.3499999999995</v>
      </c>
    </row>
    <row r="347" spans="1:19" x14ac:dyDescent="0.3">
      <c r="A347">
        <v>200010076</v>
      </c>
      <c r="B347">
        <v>273715040</v>
      </c>
      <c r="C347" s="11">
        <v>46230</v>
      </c>
      <c r="D347" s="1">
        <v>874315201706</v>
      </c>
      <c r="E347">
        <v>39703</v>
      </c>
      <c r="F347" t="s">
        <v>28</v>
      </c>
      <c r="G347" s="12">
        <v>6.5</v>
      </c>
      <c r="H347">
        <v>57</v>
      </c>
      <c r="I347">
        <v>26</v>
      </c>
      <c r="J347">
        <v>26</v>
      </c>
      <c r="K347" s="12">
        <v>6.5</v>
      </c>
      <c r="L347" t="s">
        <v>20</v>
      </c>
      <c r="M347" s="2">
        <v>2724.1</v>
      </c>
      <c r="N347" s="2">
        <v>429</v>
      </c>
      <c r="O347" s="2">
        <v>180</v>
      </c>
      <c r="P347" s="2">
        <v>1213.9000000000001</v>
      </c>
      <c r="Q347" s="13">
        <f t="shared" si="15"/>
        <v>0.36419549368455795</v>
      </c>
      <c r="R347" s="14">
        <f t="shared" si="16"/>
        <v>4547</v>
      </c>
      <c r="S347" s="15">
        <f t="shared" si="17"/>
        <v>5365.46</v>
      </c>
    </row>
    <row r="348" spans="1:19" x14ac:dyDescent="0.3">
      <c r="A348">
        <v>200010076</v>
      </c>
      <c r="B348">
        <v>273715040</v>
      </c>
      <c r="C348" s="11">
        <v>46230</v>
      </c>
      <c r="D348" s="1">
        <v>874315204543</v>
      </c>
      <c r="E348">
        <v>40220</v>
      </c>
      <c r="F348" t="s">
        <v>28</v>
      </c>
      <c r="G348" s="12">
        <v>4.5</v>
      </c>
      <c r="H348">
        <v>47</v>
      </c>
      <c r="I348">
        <v>25</v>
      </c>
      <c r="J348">
        <v>23</v>
      </c>
      <c r="K348" s="12">
        <v>4.5</v>
      </c>
      <c r="L348" t="s">
        <v>20</v>
      </c>
      <c r="M348" s="2">
        <v>2098.9</v>
      </c>
      <c r="N348" s="2">
        <v>297</v>
      </c>
      <c r="O348" s="2">
        <v>180</v>
      </c>
      <c r="P348" s="2">
        <v>922.4</v>
      </c>
      <c r="Q348" s="13">
        <f t="shared" si="15"/>
        <v>0.35808843511005861</v>
      </c>
      <c r="R348" s="14">
        <f t="shared" si="16"/>
        <v>3498.3</v>
      </c>
      <c r="S348" s="15">
        <f t="shared" si="17"/>
        <v>4127.9939999999997</v>
      </c>
    </row>
    <row r="349" spans="1:19" x14ac:dyDescent="0.3">
      <c r="A349">
        <v>200010076</v>
      </c>
      <c r="B349">
        <v>273715040</v>
      </c>
      <c r="C349" s="11">
        <v>46230</v>
      </c>
      <c r="D349" s="1">
        <v>874315211821</v>
      </c>
      <c r="E349">
        <v>41294</v>
      </c>
      <c r="F349" t="s">
        <v>28</v>
      </c>
      <c r="G349" s="12">
        <v>12</v>
      </c>
      <c r="H349">
        <v>83</v>
      </c>
      <c r="I349">
        <v>29</v>
      </c>
      <c r="J349">
        <v>29</v>
      </c>
      <c r="K349" s="12">
        <v>12</v>
      </c>
      <c r="L349" t="s">
        <v>20</v>
      </c>
      <c r="M349" s="2">
        <v>5087.1000000000004</v>
      </c>
      <c r="N349" s="2">
        <v>792</v>
      </c>
      <c r="O349" s="2">
        <v>180</v>
      </c>
      <c r="P349" s="2">
        <v>2263.5</v>
      </c>
      <c r="Q349" s="13">
        <f t="shared" si="15"/>
        <v>0.37357033222755853</v>
      </c>
      <c r="R349" s="14">
        <f t="shared" si="16"/>
        <v>8322.6</v>
      </c>
      <c r="S349" s="15">
        <f t="shared" si="17"/>
        <v>9820.6679999999997</v>
      </c>
    </row>
    <row r="350" spans="1:19" x14ac:dyDescent="0.3">
      <c r="A350">
        <v>200010076</v>
      </c>
      <c r="B350">
        <v>273715040</v>
      </c>
      <c r="C350" s="11">
        <v>46230</v>
      </c>
      <c r="D350" s="1">
        <v>874315217852</v>
      </c>
      <c r="E350">
        <v>41435</v>
      </c>
      <c r="F350" t="s">
        <v>28</v>
      </c>
      <c r="G350" s="12">
        <v>6.5</v>
      </c>
      <c r="H350">
        <v>50</v>
      </c>
      <c r="I350">
        <v>27</v>
      </c>
      <c r="J350">
        <v>26</v>
      </c>
      <c r="K350" s="12">
        <v>6.5</v>
      </c>
      <c r="L350" t="s">
        <v>20</v>
      </c>
      <c r="M350" s="2">
        <v>2724.1</v>
      </c>
      <c r="N350" s="2">
        <v>429</v>
      </c>
      <c r="O350" s="2">
        <v>180</v>
      </c>
      <c r="P350" s="2">
        <v>1213.9000000000001</v>
      </c>
      <c r="Q350" s="13">
        <f t="shared" si="15"/>
        <v>0.36419549368455795</v>
      </c>
      <c r="R350" s="14">
        <f t="shared" si="16"/>
        <v>4547</v>
      </c>
      <c r="S350" s="15">
        <f t="shared" si="17"/>
        <v>5365.46</v>
      </c>
    </row>
    <row r="351" spans="1:19" x14ac:dyDescent="0.3">
      <c r="A351">
        <v>200010076</v>
      </c>
      <c r="B351">
        <v>273715040</v>
      </c>
      <c r="C351" s="11">
        <v>46230</v>
      </c>
      <c r="D351" s="1">
        <v>874315230562</v>
      </c>
      <c r="E351">
        <v>39601</v>
      </c>
      <c r="F351" t="s">
        <v>28</v>
      </c>
      <c r="G351" s="12">
        <v>11</v>
      </c>
      <c r="H351">
        <v>71</v>
      </c>
      <c r="I351">
        <v>31</v>
      </c>
      <c r="J351">
        <v>28</v>
      </c>
      <c r="K351" s="12">
        <v>11</v>
      </c>
      <c r="L351" t="s">
        <v>20</v>
      </c>
      <c r="M351" s="2">
        <v>4745.8</v>
      </c>
      <c r="N351" s="2">
        <v>726</v>
      </c>
      <c r="O351" s="2">
        <v>180</v>
      </c>
      <c r="P351" s="2">
        <v>2106.6</v>
      </c>
      <c r="Q351" s="13">
        <f t="shared" si="15"/>
        <v>0.37273081142290948</v>
      </c>
      <c r="R351" s="14">
        <f t="shared" si="16"/>
        <v>7758.4</v>
      </c>
      <c r="S351" s="15">
        <f t="shared" si="17"/>
        <v>9154.9119999999984</v>
      </c>
    </row>
    <row r="352" spans="1:19" x14ac:dyDescent="0.3">
      <c r="A352">
        <v>200010076</v>
      </c>
      <c r="B352">
        <v>273715040</v>
      </c>
      <c r="C352" s="11">
        <v>46230</v>
      </c>
      <c r="D352" s="1">
        <v>874315237269</v>
      </c>
      <c r="E352">
        <v>42039</v>
      </c>
      <c r="F352" t="s">
        <v>28</v>
      </c>
      <c r="G352" s="12">
        <v>3.5</v>
      </c>
      <c r="H352">
        <v>53</v>
      </c>
      <c r="I352">
        <v>20</v>
      </c>
      <c r="J352">
        <v>19</v>
      </c>
      <c r="K352" s="12">
        <v>3.5</v>
      </c>
      <c r="L352" t="s">
        <v>20</v>
      </c>
      <c r="M352" s="2">
        <v>1833.3</v>
      </c>
      <c r="N352" s="2">
        <v>231</v>
      </c>
      <c r="O352" s="2">
        <v>180</v>
      </c>
      <c r="P352" s="2">
        <v>794.8</v>
      </c>
      <c r="Q352" s="13">
        <f t="shared" si="15"/>
        <v>0.35414160317248133</v>
      </c>
      <c r="R352" s="14">
        <f t="shared" si="16"/>
        <v>3039.1000000000004</v>
      </c>
      <c r="S352" s="15">
        <f t="shared" si="17"/>
        <v>3586.1380000000004</v>
      </c>
    </row>
    <row r="353" spans="1:19" x14ac:dyDescent="0.3">
      <c r="A353">
        <v>200010076</v>
      </c>
      <c r="B353">
        <v>273715040</v>
      </c>
      <c r="C353" s="11">
        <v>46230</v>
      </c>
      <c r="D353" s="1">
        <v>874315245304</v>
      </c>
      <c r="E353">
        <v>40487</v>
      </c>
      <c r="F353" t="s">
        <v>28</v>
      </c>
      <c r="G353" s="12">
        <v>7.5</v>
      </c>
      <c r="H353">
        <v>62</v>
      </c>
      <c r="I353">
        <v>27</v>
      </c>
      <c r="J353">
        <v>25</v>
      </c>
      <c r="K353" s="12">
        <v>7.5</v>
      </c>
      <c r="L353" t="s">
        <v>20</v>
      </c>
      <c r="M353" s="2">
        <v>2954.2</v>
      </c>
      <c r="N353" s="2">
        <v>495</v>
      </c>
      <c r="O353" s="2">
        <v>180</v>
      </c>
      <c r="P353" s="2">
        <v>1327.9</v>
      </c>
      <c r="Q353" s="13">
        <f t="shared" si="15"/>
        <v>0.36589330982034612</v>
      </c>
      <c r="R353" s="14">
        <f t="shared" si="16"/>
        <v>4957.1000000000004</v>
      </c>
      <c r="S353" s="15">
        <f t="shared" si="17"/>
        <v>5849.3779999999997</v>
      </c>
    </row>
    <row r="354" spans="1:19" x14ac:dyDescent="0.3">
      <c r="A354">
        <v>200010076</v>
      </c>
      <c r="B354">
        <v>273715040</v>
      </c>
      <c r="C354" s="11">
        <v>46230</v>
      </c>
      <c r="D354" s="1">
        <v>874315255522</v>
      </c>
      <c r="E354">
        <v>42028</v>
      </c>
      <c r="F354" t="s">
        <v>28</v>
      </c>
      <c r="G354" s="12">
        <v>4</v>
      </c>
      <c r="H354">
        <v>63</v>
      </c>
      <c r="I354">
        <v>19</v>
      </c>
      <c r="J354">
        <v>19</v>
      </c>
      <c r="K354" s="12">
        <v>4</v>
      </c>
      <c r="L354" t="s">
        <v>20</v>
      </c>
      <c r="M354" s="2">
        <v>1966.1</v>
      </c>
      <c r="N354" s="2">
        <v>264</v>
      </c>
      <c r="O354" s="2">
        <v>180</v>
      </c>
      <c r="P354" s="2">
        <v>858.6</v>
      </c>
      <c r="Q354" s="13">
        <f t="shared" si="15"/>
        <v>0.35625077797601762</v>
      </c>
      <c r="R354" s="14">
        <f t="shared" si="16"/>
        <v>3268.7</v>
      </c>
      <c r="S354" s="15">
        <f t="shared" si="17"/>
        <v>3857.0659999999998</v>
      </c>
    </row>
    <row r="355" spans="1:19" x14ac:dyDescent="0.3">
      <c r="A355">
        <v>200010076</v>
      </c>
      <c r="B355">
        <v>273715040</v>
      </c>
      <c r="C355" s="11">
        <v>46230</v>
      </c>
      <c r="D355" s="1">
        <v>874315259366</v>
      </c>
      <c r="E355">
        <v>41647</v>
      </c>
      <c r="F355" t="s">
        <v>28</v>
      </c>
      <c r="G355" s="12">
        <v>6</v>
      </c>
      <c r="H355">
        <v>67</v>
      </c>
      <c r="I355">
        <v>25</v>
      </c>
      <c r="J355">
        <v>21</v>
      </c>
      <c r="K355" s="12">
        <v>6</v>
      </c>
      <c r="L355" t="s">
        <v>20</v>
      </c>
      <c r="M355" s="2">
        <v>2609.1</v>
      </c>
      <c r="N355" s="2">
        <v>396</v>
      </c>
      <c r="O355" s="2">
        <v>180</v>
      </c>
      <c r="P355" s="2">
        <v>1157</v>
      </c>
      <c r="Q355" s="13">
        <f t="shared" si="15"/>
        <v>0.36325390097642146</v>
      </c>
      <c r="R355" s="14">
        <f t="shared" si="16"/>
        <v>4342.1000000000004</v>
      </c>
      <c r="S355" s="15">
        <f t="shared" si="17"/>
        <v>5123.6779999999999</v>
      </c>
    </row>
    <row r="356" spans="1:19" x14ac:dyDescent="0.3">
      <c r="A356">
        <v>200010076</v>
      </c>
      <c r="B356">
        <v>273715040</v>
      </c>
      <c r="C356" s="11">
        <v>46230</v>
      </c>
      <c r="D356" s="1">
        <v>874315266195</v>
      </c>
      <c r="E356">
        <v>42003</v>
      </c>
      <c r="F356" t="s">
        <v>28</v>
      </c>
      <c r="G356" s="12">
        <v>5</v>
      </c>
      <c r="H356">
        <v>55</v>
      </c>
      <c r="I356">
        <v>23</v>
      </c>
      <c r="J356">
        <v>21</v>
      </c>
      <c r="K356" s="12">
        <v>5</v>
      </c>
      <c r="L356" t="s">
        <v>20</v>
      </c>
      <c r="M356" s="2">
        <v>2231.6999999999998</v>
      </c>
      <c r="N356" s="2">
        <v>330</v>
      </c>
      <c r="O356" s="2">
        <v>180</v>
      </c>
      <c r="P356" s="2">
        <v>986.3</v>
      </c>
      <c r="Q356" s="13">
        <f t="shared" si="15"/>
        <v>0.35974030710872817</v>
      </c>
      <c r="R356" s="14">
        <f t="shared" si="16"/>
        <v>3728</v>
      </c>
      <c r="S356" s="15">
        <f t="shared" si="17"/>
        <v>4399.04</v>
      </c>
    </row>
    <row r="357" spans="1:19" x14ac:dyDescent="0.3">
      <c r="A357">
        <v>200010076</v>
      </c>
      <c r="B357">
        <v>273715040</v>
      </c>
      <c r="C357" s="11">
        <v>46230</v>
      </c>
      <c r="D357" s="1">
        <v>874315272455</v>
      </c>
      <c r="E357">
        <v>39923</v>
      </c>
      <c r="F357" t="s">
        <v>28</v>
      </c>
      <c r="G357" s="12">
        <v>7.5</v>
      </c>
      <c r="H357">
        <v>74</v>
      </c>
      <c r="I357">
        <v>26</v>
      </c>
      <c r="J357">
        <v>22</v>
      </c>
      <c r="K357" s="12">
        <v>7.5</v>
      </c>
      <c r="L357" t="s">
        <v>20</v>
      </c>
      <c r="M357" s="2">
        <v>2954.2</v>
      </c>
      <c r="N357" s="2">
        <v>495</v>
      </c>
      <c r="O357" s="2">
        <v>180</v>
      </c>
      <c r="P357" s="2">
        <v>1327.9</v>
      </c>
      <c r="Q357" s="13">
        <f t="shared" si="15"/>
        <v>0.36589330982034612</v>
      </c>
      <c r="R357" s="14">
        <f t="shared" si="16"/>
        <v>4957.1000000000004</v>
      </c>
      <c r="S357" s="15">
        <f t="shared" si="17"/>
        <v>5849.3779999999997</v>
      </c>
    </row>
    <row r="358" spans="1:19" x14ac:dyDescent="0.3">
      <c r="A358">
        <v>200010076</v>
      </c>
      <c r="B358">
        <v>273715040</v>
      </c>
      <c r="C358" s="11">
        <v>46230</v>
      </c>
      <c r="D358" s="1">
        <v>874315276370</v>
      </c>
      <c r="E358">
        <v>41096</v>
      </c>
      <c r="F358" t="s">
        <v>28</v>
      </c>
      <c r="G358" s="12">
        <v>5.5</v>
      </c>
      <c r="H358">
        <v>44</v>
      </c>
      <c r="I358">
        <v>27</v>
      </c>
      <c r="J358">
        <v>25</v>
      </c>
      <c r="K358" s="12">
        <v>5.5</v>
      </c>
      <c r="L358" t="s">
        <v>20</v>
      </c>
      <c r="M358" s="2">
        <v>2494</v>
      </c>
      <c r="N358" s="2">
        <v>363</v>
      </c>
      <c r="O358" s="2">
        <v>180</v>
      </c>
      <c r="P358" s="2">
        <v>1100</v>
      </c>
      <c r="Q358" s="13">
        <f t="shared" si="15"/>
        <v>0.3621995390187685</v>
      </c>
      <c r="R358" s="14">
        <f t="shared" si="16"/>
        <v>4137</v>
      </c>
      <c r="S358" s="15">
        <f t="shared" si="17"/>
        <v>4881.66</v>
      </c>
    </row>
    <row r="359" spans="1:19" x14ac:dyDescent="0.3">
      <c r="A359">
        <v>200010076</v>
      </c>
      <c r="B359">
        <v>273715040</v>
      </c>
      <c r="C359" s="11">
        <v>46230</v>
      </c>
      <c r="D359" s="1">
        <v>874315282559</v>
      </c>
      <c r="E359">
        <v>42306</v>
      </c>
      <c r="F359" t="s">
        <v>28</v>
      </c>
      <c r="G359" s="12">
        <v>4</v>
      </c>
      <c r="H359">
        <v>54</v>
      </c>
      <c r="I359">
        <v>22</v>
      </c>
      <c r="J359">
        <v>19</v>
      </c>
      <c r="K359" s="12">
        <v>4</v>
      </c>
      <c r="L359" t="s">
        <v>20</v>
      </c>
      <c r="M359" s="2">
        <v>1966.1</v>
      </c>
      <c r="N359" s="2">
        <v>264</v>
      </c>
      <c r="O359" s="2">
        <v>180</v>
      </c>
      <c r="P359" s="2">
        <v>858.6</v>
      </c>
      <c r="Q359" s="13">
        <f t="shared" si="15"/>
        <v>0.35625077797601762</v>
      </c>
      <c r="R359" s="14">
        <f t="shared" si="16"/>
        <v>3268.7</v>
      </c>
      <c r="S359" s="15">
        <f t="shared" si="17"/>
        <v>3857.0659999999998</v>
      </c>
    </row>
    <row r="360" spans="1:19" x14ac:dyDescent="0.3">
      <c r="A360">
        <v>200010076</v>
      </c>
      <c r="B360">
        <v>273715040</v>
      </c>
      <c r="C360" s="11">
        <v>46230</v>
      </c>
      <c r="D360" s="1">
        <v>874315287219</v>
      </c>
      <c r="E360">
        <v>40593</v>
      </c>
      <c r="F360" t="s">
        <v>28</v>
      </c>
      <c r="G360" s="12">
        <v>7</v>
      </c>
      <c r="H360">
        <v>49</v>
      </c>
      <c r="I360">
        <v>29</v>
      </c>
      <c r="J360">
        <v>27</v>
      </c>
      <c r="K360" s="12">
        <v>7</v>
      </c>
      <c r="L360" t="s">
        <v>20</v>
      </c>
      <c r="M360" s="2">
        <v>2839.2</v>
      </c>
      <c r="N360" s="2">
        <v>462</v>
      </c>
      <c r="O360" s="2">
        <v>180</v>
      </c>
      <c r="P360" s="2">
        <v>1271</v>
      </c>
      <c r="Q360" s="13">
        <f t="shared" si="15"/>
        <v>0.36510398713087444</v>
      </c>
      <c r="R360" s="14">
        <f t="shared" si="16"/>
        <v>4752.2</v>
      </c>
      <c r="S360" s="15">
        <f t="shared" si="17"/>
        <v>5607.5959999999995</v>
      </c>
    </row>
    <row r="361" spans="1:19" x14ac:dyDescent="0.3">
      <c r="A361">
        <v>200010076</v>
      </c>
      <c r="B361">
        <v>273715040</v>
      </c>
      <c r="C361" s="11">
        <v>46230</v>
      </c>
      <c r="D361" s="1">
        <v>874315292620</v>
      </c>
      <c r="E361">
        <v>39761</v>
      </c>
      <c r="F361" t="s">
        <v>28</v>
      </c>
      <c r="G361" s="12">
        <v>4</v>
      </c>
      <c r="H361">
        <v>44</v>
      </c>
      <c r="I361">
        <v>23</v>
      </c>
      <c r="J361">
        <v>23</v>
      </c>
      <c r="K361" s="12">
        <v>4</v>
      </c>
      <c r="L361" t="s">
        <v>20</v>
      </c>
      <c r="M361" s="2">
        <v>1966.1</v>
      </c>
      <c r="N361" s="2">
        <v>264</v>
      </c>
      <c r="O361" s="2">
        <v>180</v>
      </c>
      <c r="P361" s="2">
        <v>858.6</v>
      </c>
      <c r="Q361" s="13">
        <f t="shared" si="15"/>
        <v>0.35625077797601762</v>
      </c>
      <c r="R361" s="14">
        <f t="shared" si="16"/>
        <v>3268.7</v>
      </c>
      <c r="S361" s="15">
        <f t="shared" si="17"/>
        <v>3857.0659999999998</v>
      </c>
    </row>
    <row r="362" spans="1:19" x14ac:dyDescent="0.3">
      <c r="A362">
        <v>200010076</v>
      </c>
      <c r="B362">
        <v>273715040</v>
      </c>
      <c r="C362" s="11">
        <v>46230</v>
      </c>
      <c r="D362" s="1">
        <v>874315299808</v>
      </c>
      <c r="E362">
        <v>40806</v>
      </c>
      <c r="F362" t="s">
        <v>28</v>
      </c>
      <c r="G362" s="12">
        <v>11</v>
      </c>
      <c r="H362">
        <v>66</v>
      </c>
      <c r="I362">
        <v>32</v>
      </c>
      <c r="J362">
        <v>31</v>
      </c>
      <c r="K362" s="12">
        <v>11</v>
      </c>
      <c r="L362" t="s">
        <v>20</v>
      </c>
      <c r="M362" s="2">
        <v>4745.8</v>
      </c>
      <c r="N362" s="2">
        <v>726</v>
      </c>
      <c r="O362" s="2">
        <v>180</v>
      </c>
      <c r="P362" s="2">
        <v>2106.6</v>
      </c>
      <c r="Q362" s="13">
        <f t="shared" si="15"/>
        <v>0.37273081142290948</v>
      </c>
      <c r="R362" s="14">
        <f t="shared" si="16"/>
        <v>7758.4</v>
      </c>
      <c r="S362" s="15">
        <f t="shared" si="17"/>
        <v>9154.9119999999984</v>
      </c>
    </row>
    <row r="363" spans="1:19" x14ac:dyDescent="0.3">
      <c r="A363">
        <v>200010076</v>
      </c>
      <c r="B363">
        <v>273715040</v>
      </c>
      <c r="C363" s="11">
        <v>46230</v>
      </c>
      <c r="D363" s="1">
        <v>874315303528</v>
      </c>
      <c r="E363">
        <v>42040</v>
      </c>
      <c r="F363" t="s">
        <v>28</v>
      </c>
      <c r="G363" s="12">
        <v>6.5</v>
      </c>
      <c r="H363">
        <v>60</v>
      </c>
      <c r="I363">
        <v>25</v>
      </c>
      <c r="J363">
        <v>24</v>
      </c>
      <c r="K363" s="12">
        <v>6.5</v>
      </c>
      <c r="L363" t="s">
        <v>20</v>
      </c>
      <c r="M363" s="2">
        <v>2724.1</v>
      </c>
      <c r="N363" s="2">
        <v>429</v>
      </c>
      <c r="O363" s="2">
        <v>180</v>
      </c>
      <c r="P363" s="2">
        <v>1213.9000000000001</v>
      </c>
      <c r="Q363" s="13">
        <f t="shared" si="15"/>
        <v>0.36419549368455795</v>
      </c>
      <c r="R363" s="14">
        <f t="shared" si="16"/>
        <v>4547</v>
      </c>
      <c r="S363" s="15">
        <f t="shared" si="17"/>
        <v>5365.46</v>
      </c>
    </row>
    <row r="364" spans="1:19" x14ac:dyDescent="0.3">
      <c r="A364">
        <v>200010076</v>
      </c>
      <c r="B364">
        <v>273715040</v>
      </c>
      <c r="C364" s="11">
        <v>46230</v>
      </c>
      <c r="D364" s="1">
        <v>874315309309</v>
      </c>
      <c r="E364">
        <v>42259</v>
      </c>
      <c r="F364" t="s">
        <v>28</v>
      </c>
      <c r="G364" s="12">
        <v>5.5</v>
      </c>
      <c r="H364">
        <v>51</v>
      </c>
      <c r="I364">
        <v>25</v>
      </c>
      <c r="J364">
        <v>24</v>
      </c>
      <c r="K364" s="12">
        <v>5.5</v>
      </c>
      <c r="L364" t="s">
        <v>20</v>
      </c>
      <c r="M364" s="2">
        <v>2494</v>
      </c>
      <c r="N364" s="2">
        <v>363</v>
      </c>
      <c r="O364" s="2">
        <v>180</v>
      </c>
      <c r="P364" s="2">
        <v>1100</v>
      </c>
      <c r="Q364" s="13">
        <f t="shared" si="15"/>
        <v>0.3621995390187685</v>
      </c>
      <c r="R364" s="14">
        <f t="shared" si="16"/>
        <v>4137</v>
      </c>
      <c r="S364" s="15">
        <f t="shared" si="17"/>
        <v>4881.66</v>
      </c>
    </row>
    <row r="365" spans="1:19" x14ac:dyDescent="0.3">
      <c r="A365">
        <v>200010076</v>
      </c>
      <c r="B365">
        <v>273715040</v>
      </c>
      <c r="C365" s="11">
        <v>46230</v>
      </c>
      <c r="D365" s="1">
        <v>874315314639</v>
      </c>
      <c r="E365">
        <v>39445</v>
      </c>
      <c r="F365" t="s">
        <v>28</v>
      </c>
      <c r="G365" s="12">
        <v>7</v>
      </c>
      <c r="H365">
        <v>55</v>
      </c>
      <c r="I365">
        <v>29</v>
      </c>
      <c r="J365">
        <v>26</v>
      </c>
      <c r="K365" s="12">
        <v>7</v>
      </c>
      <c r="L365" t="s">
        <v>20</v>
      </c>
      <c r="M365" s="2">
        <v>2839.2</v>
      </c>
      <c r="N365" s="2">
        <v>462</v>
      </c>
      <c r="O365" s="2">
        <v>180</v>
      </c>
      <c r="P365" s="2">
        <v>1271</v>
      </c>
      <c r="Q365" s="13">
        <f t="shared" si="15"/>
        <v>0.36510398713087444</v>
      </c>
      <c r="R365" s="14">
        <f t="shared" si="16"/>
        <v>4752.2</v>
      </c>
      <c r="S365" s="15">
        <f t="shared" si="17"/>
        <v>5607.5959999999995</v>
      </c>
    </row>
    <row r="366" spans="1:19" x14ac:dyDescent="0.3">
      <c r="A366">
        <v>200010076</v>
      </c>
      <c r="B366">
        <v>273715040</v>
      </c>
      <c r="C366" s="11">
        <v>46230</v>
      </c>
      <c r="D366" s="1">
        <v>874315325485</v>
      </c>
      <c r="E366">
        <v>38764</v>
      </c>
      <c r="F366" t="s">
        <v>28</v>
      </c>
      <c r="G366" s="12">
        <v>10</v>
      </c>
      <c r="H366">
        <v>66</v>
      </c>
      <c r="I366">
        <v>30</v>
      </c>
      <c r="J366">
        <v>29</v>
      </c>
      <c r="K366" s="12">
        <v>10</v>
      </c>
      <c r="L366" t="s">
        <v>20</v>
      </c>
      <c r="M366" s="2">
        <v>3529.5</v>
      </c>
      <c r="N366" s="2">
        <v>660</v>
      </c>
      <c r="O366" s="2">
        <v>180</v>
      </c>
      <c r="P366" s="2">
        <v>1613</v>
      </c>
      <c r="Q366" s="13">
        <f t="shared" si="15"/>
        <v>0.3691497883052981</v>
      </c>
      <c r="R366" s="14">
        <f t="shared" si="16"/>
        <v>5982.5</v>
      </c>
      <c r="S366" s="15">
        <f t="shared" si="17"/>
        <v>7059.3499999999995</v>
      </c>
    </row>
    <row r="367" spans="1:19" x14ac:dyDescent="0.3">
      <c r="A367">
        <v>200010076</v>
      </c>
      <c r="B367">
        <v>273715040</v>
      </c>
      <c r="C367" s="11">
        <v>46230</v>
      </c>
      <c r="D367" s="1">
        <v>874315332866</v>
      </c>
      <c r="E367">
        <v>41958</v>
      </c>
      <c r="F367" t="s">
        <v>28</v>
      </c>
      <c r="G367" s="12">
        <v>7</v>
      </c>
      <c r="H367">
        <v>60</v>
      </c>
      <c r="I367">
        <v>27</v>
      </c>
      <c r="J367">
        <v>25</v>
      </c>
      <c r="K367" s="12">
        <v>7</v>
      </c>
      <c r="L367" t="s">
        <v>20</v>
      </c>
      <c r="M367" s="2">
        <v>2839.2</v>
      </c>
      <c r="N367" s="2">
        <v>462</v>
      </c>
      <c r="O367" s="2">
        <v>180</v>
      </c>
      <c r="P367" s="2">
        <v>1271</v>
      </c>
      <c r="Q367" s="13">
        <f t="shared" si="15"/>
        <v>0.36510398713087444</v>
      </c>
      <c r="R367" s="14">
        <f t="shared" si="16"/>
        <v>4752.2</v>
      </c>
      <c r="S367" s="15">
        <f t="shared" si="17"/>
        <v>5607.5959999999995</v>
      </c>
    </row>
    <row r="368" spans="1:19" x14ac:dyDescent="0.3">
      <c r="A368">
        <v>200010076</v>
      </c>
      <c r="B368">
        <v>273715040</v>
      </c>
      <c r="C368" s="11">
        <v>46230</v>
      </c>
      <c r="D368" s="1">
        <v>874315336482</v>
      </c>
      <c r="E368">
        <v>39987</v>
      </c>
      <c r="F368" t="s">
        <v>28</v>
      </c>
      <c r="G368" s="12">
        <v>6.5</v>
      </c>
      <c r="H368">
        <v>50</v>
      </c>
      <c r="I368">
        <v>29</v>
      </c>
      <c r="J368">
        <v>26</v>
      </c>
      <c r="K368" s="12">
        <v>6.5</v>
      </c>
      <c r="L368" t="s">
        <v>20</v>
      </c>
      <c r="M368" s="2">
        <v>2724.1</v>
      </c>
      <c r="N368" s="2">
        <v>429</v>
      </c>
      <c r="O368" s="2">
        <v>180</v>
      </c>
      <c r="P368" s="2">
        <v>1213.9000000000001</v>
      </c>
      <c r="Q368" s="13">
        <f t="shared" si="15"/>
        <v>0.36419549368455795</v>
      </c>
      <c r="R368" s="14">
        <f t="shared" si="16"/>
        <v>4547</v>
      </c>
      <c r="S368" s="15">
        <f t="shared" si="17"/>
        <v>5365.46</v>
      </c>
    </row>
    <row r="369" spans="1:19" x14ac:dyDescent="0.3">
      <c r="A369">
        <v>200010076</v>
      </c>
      <c r="B369">
        <v>273715040</v>
      </c>
      <c r="C369" s="11">
        <v>46230</v>
      </c>
      <c r="D369" s="1">
        <v>874315342514</v>
      </c>
      <c r="E369">
        <v>41209</v>
      </c>
      <c r="F369" t="s">
        <v>28</v>
      </c>
      <c r="G369" s="12">
        <v>13</v>
      </c>
      <c r="H369">
        <v>65</v>
      </c>
      <c r="I369">
        <v>33</v>
      </c>
      <c r="J369">
        <v>32</v>
      </c>
      <c r="K369" s="12">
        <v>13</v>
      </c>
      <c r="L369" t="s">
        <v>20</v>
      </c>
      <c r="M369" s="2">
        <v>5428.5</v>
      </c>
      <c r="N369" s="2">
        <v>858</v>
      </c>
      <c r="O369" s="2">
        <v>180</v>
      </c>
      <c r="P369" s="2">
        <v>2420.3000000000002</v>
      </c>
      <c r="Q369" s="13">
        <f t="shared" si="15"/>
        <v>0.37428284234129749</v>
      </c>
      <c r="R369" s="14">
        <f t="shared" si="16"/>
        <v>8886.7999999999993</v>
      </c>
      <c r="S369" s="15">
        <f t="shared" si="17"/>
        <v>10486.423999999999</v>
      </c>
    </row>
    <row r="370" spans="1:19" x14ac:dyDescent="0.3">
      <c r="A370">
        <v>200010076</v>
      </c>
      <c r="B370">
        <v>273715040</v>
      </c>
      <c r="C370" s="11">
        <v>46230</v>
      </c>
      <c r="D370" s="1">
        <v>874320720690</v>
      </c>
      <c r="E370">
        <v>40157</v>
      </c>
      <c r="F370" t="s">
        <v>28</v>
      </c>
      <c r="G370" s="12">
        <v>27</v>
      </c>
      <c r="H370">
        <v>78</v>
      </c>
      <c r="I370">
        <v>34</v>
      </c>
      <c r="J370">
        <v>33</v>
      </c>
      <c r="K370" s="12">
        <v>29.5</v>
      </c>
      <c r="L370" t="s">
        <v>20</v>
      </c>
      <c r="M370" s="2">
        <v>11619.6</v>
      </c>
      <c r="N370" s="2">
        <v>1947</v>
      </c>
      <c r="P370" s="2">
        <v>5223.1000000000004</v>
      </c>
      <c r="Q370" s="13">
        <f t="shared" si="15"/>
        <v>0.38499697787212717</v>
      </c>
      <c r="R370" s="14">
        <f t="shared" si="16"/>
        <v>18789.7</v>
      </c>
      <c r="S370" s="15">
        <f t="shared" si="17"/>
        <v>22171.846000000001</v>
      </c>
    </row>
    <row r="371" spans="1:19" x14ac:dyDescent="0.3">
      <c r="A371">
        <v>200010076</v>
      </c>
      <c r="B371">
        <v>273715040</v>
      </c>
      <c r="C371" s="11">
        <v>46230</v>
      </c>
      <c r="D371" s="1">
        <v>874320720715</v>
      </c>
      <c r="E371">
        <v>37831</v>
      </c>
      <c r="F371" t="s">
        <v>28</v>
      </c>
      <c r="G371" s="12">
        <v>101</v>
      </c>
      <c r="H371">
        <v>76</v>
      </c>
      <c r="I371">
        <v>34</v>
      </c>
      <c r="J371">
        <v>33</v>
      </c>
      <c r="K371" s="12">
        <v>101</v>
      </c>
      <c r="L371" t="s">
        <v>20</v>
      </c>
      <c r="M371" s="2">
        <v>74445.8</v>
      </c>
      <c r="N371" s="2">
        <v>6666</v>
      </c>
      <c r="O371" s="2">
        <v>2235</v>
      </c>
      <c r="P371" s="2">
        <v>32088.5</v>
      </c>
      <c r="Q371" s="13">
        <f t="shared" si="15"/>
        <v>0.38499978403489993</v>
      </c>
      <c r="R371" s="14">
        <f t="shared" si="16"/>
        <v>115435.3</v>
      </c>
      <c r="S371" s="15">
        <f t="shared" si="17"/>
        <v>136213.65400000001</v>
      </c>
    </row>
    <row r="372" spans="1:19" x14ac:dyDescent="0.3">
      <c r="A372">
        <v>200010076</v>
      </c>
      <c r="B372">
        <v>273715040</v>
      </c>
      <c r="C372" s="11">
        <v>46230</v>
      </c>
      <c r="D372" s="1">
        <v>874314883810</v>
      </c>
      <c r="E372">
        <v>4111120252</v>
      </c>
      <c r="F372" t="s">
        <v>28</v>
      </c>
      <c r="G372" s="12">
        <v>0.5</v>
      </c>
      <c r="K372" s="12">
        <v>0</v>
      </c>
      <c r="L372" t="s">
        <v>20</v>
      </c>
      <c r="M372" s="2">
        <v>1031.7</v>
      </c>
      <c r="N372" s="2">
        <v>42.5</v>
      </c>
      <c r="P372" s="2">
        <v>413.6</v>
      </c>
      <c r="Q372" s="13">
        <f t="shared" si="15"/>
        <v>0.38503072053621301</v>
      </c>
      <c r="R372" s="14">
        <f t="shared" si="16"/>
        <v>1487.8000000000002</v>
      </c>
      <c r="S372" s="15">
        <f t="shared" si="17"/>
        <v>1755.604</v>
      </c>
    </row>
    <row r="373" spans="1:19" x14ac:dyDescent="0.3">
      <c r="A373">
        <v>200010076</v>
      </c>
      <c r="B373">
        <v>273715040</v>
      </c>
      <c r="C373" s="11">
        <v>46230</v>
      </c>
      <c r="D373" s="1">
        <v>874314894840</v>
      </c>
      <c r="E373">
        <v>42653</v>
      </c>
      <c r="F373" t="s">
        <v>28</v>
      </c>
      <c r="G373" s="12">
        <v>0.5</v>
      </c>
      <c r="K373" s="12">
        <v>0</v>
      </c>
      <c r="L373" t="s">
        <v>20</v>
      </c>
      <c r="M373" s="2">
        <v>1031.7</v>
      </c>
      <c r="N373" s="2">
        <v>42.5</v>
      </c>
      <c r="P373" s="2">
        <v>413.6</v>
      </c>
      <c r="Q373" s="13">
        <f t="shared" si="15"/>
        <v>0.38503072053621301</v>
      </c>
      <c r="R373" s="14">
        <f t="shared" si="16"/>
        <v>1487.8000000000002</v>
      </c>
      <c r="S373" s="15">
        <f t="shared" si="17"/>
        <v>1755.604</v>
      </c>
    </row>
    <row r="374" spans="1:19" x14ac:dyDescent="0.3">
      <c r="A374">
        <v>200010076</v>
      </c>
      <c r="B374">
        <v>273715040</v>
      </c>
      <c r="C374" s="11">
        <v>46230</v>
      </c>
      <c r="D374" s="1">
        <v>874314901960</v>
      </c>
      <c r="E374">
        <v>42668</v>
      </c>
      <c r="F374" t="s">
        <v>28</v>
      </c>
      <c r="G374" s="12">
        <v>0.5</v>
      </c>
      <c r="K374" s="12">
        <v>0</v>
      </c>
      <c r="L374" t="s">
        <v>20</v>
      </c>
      <c r="M374" s="2">
        <v>1031.7</v>
      </c>
      <c r="N374" s="2">
        <v>42.5</v>
      </c>
      <c r="P374" s="2">
        <v>413.6</v>
      </c>
      <c r="Q374" s="13">
        <f t="shared" si="15"/>
        <v>0.38503072053621301</v>
      </c>
      <c r="R374" s="14">
        <f t="shared" si="16"/>
        <v>1487.8000000000002</v>
      </c>
      <c r="S374" s="15">
        <f t="shared" si="17"/>
        <v>1755.604</v>
      </c>
    </row>
    <row r="375" spans="1:19" x14ac:dyDescent="0.3">
      <c r="A375">
        <v>200010076</v>
      </c>
      <c r="B375">
        <v>273715040</v>
      </c>
      <c r="C375" s="11">
        <v>46230</v>
      </c>
      <c r="D375" s="1">
        <v>874314914319</v>
      </c>
      <c r="E375">
        <v>42648</v>
      </c>
      <c r="F375" t="s">
        <v>28</v>
      </c>
      <c r="G375" s="12">
        <v>0.5</v>
      </c>
      <c r="K375" s="12">
        <v>0</v>
      </c>
      <c r="L375" t="s">
        <v>20</v>
      </c>
      <c r="M375" s="2">
        <v>1031.7</v>
      </c>
      <c r="N375" s="2">
        <v>42.5</v>
      </c>
      <c r="P375" s="2">
        <v>413.6</v>
      </c>
      <c r="Q375" s="13">
        <f t="shared" si="15"/>
        <v>0.38503072053621301</v>
      </c>
      <c r="R375" s="14">
        <f t="shared" si="16"/>
        <v>1487.8000000000002</v>
      </c>
      <c r="S375" s="15">
        <f t="shared" si="17"/>
        <v>1755.604</v>
      </c>
    </row>
    <row r="376" spans="1:19" x14ac:dyDescent="0.3">
      <c r="A376">
        <v>200010076</v>
      </c>
      <c r="B376">
        <v>273715040</v>
      </c>
      <c r="C376" s="11">
        <v>46230</v>
      </c>
      <c r="D376" s="1">
        <v>874314919295</v>
      </c>
      <c r="E376">
        <v>42647</v>
      </c>
      <c r="F376" t="s">
        <v>28</v>
      </c>
      <c r="G376" s="12">
        <v>0.5</v>
      </c>
      <c r="K376" s="12">
        <v>0</v>
      </c>
      <c r="L376" t="s">
        <v>20</v>
      </c>
      <c r="M376" s="2">
        <v>1031.7</v>
      </c>
      <c r="N376" s="2">
        <v>42.5</v>
      </c>
      <c r="P376" s="2">
        <v>413.6</v>
      </c>
      <c r="Q376" s="13">
        <f t="shared" si="15"/>
        <v>0.38503072053621301</v>
      </c>
      <c r="R376" s="14">
        <f t="shared" si="16"/>
        <v>1487.8000000000002</v>
      </c>
      <c r="S376" s="15">
        <f t="shared" si="17"/>
        <v>1755.604</v>
      </c>
    </row>
    <row r="377" spans="1:19" x14ac:dyDescent="0.3">
      <c r="A377">
        <v>200010076</v>
      </c>
      <c r="B377">
        <v>273715040</v>
      </c>
      <c r="C377" s="11">
        <v>46230</v>
      </c>
      <c r="D377" s="1">
        <v>874314923986</v>
      </c>
      <c r="E377">
        <v>42693</v>
      </c>
      <c r="F377" t="s">
        <v>28</v>
      </c>
      <c r="G377" s="12">
        <v>0.5</v>
      </c>
      <c r="K377" s="12">
        <v>0</v>
      </c>
      <c r="L377" t="s">
        <v>20</v>
      </c>
      <c r="M377" s="2">
        <v>1031.7</v>
      </c>
      <c r="N377" s="2">
        <v>42.5</v>
      </c>
      <c r="P377" s="2">
        <v>413.6</v>
      </c>
      <c r="Q377" s="13">
        <f t="shared" si="15"/>
        <v>0.38503072053621301</v>
      </c>
      <c r="R377" s="14">
        <f t="shared" si="16"/>
        <v>1487.8000000000002</v>
      </c>
      <c r="S377" s="15">
        <f t="shared" si="17"/>
        <v>1755.604</v>
      </c>
    </row>
    <row r="378" spans="1:19" x14ac:dyDescent="0.3">
      <c r="A378">
        <v>200010076</v>
      </c>
      <c r="B378">
        <v>273715040</v>
      </c>
      <c r="C378" s="11">
        <v>46230</v>
      </c>
      <c r="D378" s="1">
        <v>874314934538</v>
      </c>
      <c r="E378">
        <v>42699</v>
      </c>
      <c r="F378" t="s">
        <v>28</v>
      </c>
      <c r="G378" s="12">
        <v>0.5</v>
      </c>
      <c r="K378" s="12">
        <v>0</v>
      </c>
      <c r="L378" t="s">
        <v>20</v>
      </c>
      <c r="M378" s="2">
        <v>1031.7</v>
      </c>
      <c r="N378" s="2">
        <v>42.5</v>
      </c>
      <c r="P378" s="2">
        <v>413.6</v>
      </c>
      <c r="Q378" s="13">
        <f t="shared" si="15"/>
        <v>0.38503072053621301</v>
      </c>
      <c r="R378" s="14">
        <f t="shared" si="16"/>
        <v>1487.8000000000002</v>
      </c>
      <c r="S378" s="15">
        <f t="shared" si="17"/>
        <v>1755.604</v>
      </c>
    </row>
    <row r="379" spans="1:19" x14ac:dyDescent="0.3">
      <c r="A379">
        <v>200010076</v>
      </c>
      <c r="B379">
        <v>273715040</v>
      </c>
      <c r="C379" s="11">
        <v>46230</v>
      </c>
      <c r="D379" s="1">
        <v>874314946130</v>
      </c>
      <c r="E379">
        <v>42654</v>
      </c>
      <c r="F379" t="s">
        <v>28</v>
      </c>
      <c r="G379" s="12">
        <v>0.5</v>
      </c>
      <c r="K379" s="12">
        <v>0</v>
      </c>
      <c r="L379" t="s">
        <v>20</v>
      </c>
      <c r="M379" s="2">
        <v>1031.7</v>
      </c>
      <c r="N379" s="2">
        <v>42.5</v>
      </c>
      <c r="P379" s="2">
        <v>413.6</v>
      </c>
      <c r="Q379" s="13">
        <f t="shared" si="15"/>
        <v>0.38503072053621301</v>
      </c>
      <c r="R379" s="14">
        <f t="shared" si="16"/>
        <v>1487.8000000000002</v>
      </c>
      <c r="S379" s="15">
        <f t="shared" si="17"/>
        <v>1755.604</v>
      </c>
    </row>
    <row r="380" spans="1:19" x14ac:dyDescent="0.3">
      <c r="A380">
        <v>200010076</v>
      </c>
      <c r="B380">
        <v>273715040</v>
      </c>
      <c r="C380" s="11">
        <v>46230</v>
      </c>
      <c r="D380" s="1">
        <v>874314953143</v>
      </c>
      <c r="E380">
        <v>42679</v>
      </c>
      <c r="F380" t="s">
        <v>28</v>
      </c>
      <c r="G380" s="12">
        <v>0.5</v>
      </c>
      <c r="K380" s="12">
        <v>0</v>
      </c>
      <c r="L380" t="s">
        <v>20</v>
      </c>
      <c r="M380" s="2">
        <v>1031.7</v>
      </c>
      <c r="N380" s="2">
        <v>42.5</v>
      </c>
      <c r="P380" s="2">
        <v>413.6</v>
      </c>
      <c r="Q380" s="13">
        <f t="shared" si="15"/>
        <v>0.38503072053621301</v>
      </c>
      <c r="R380" s="14">
        <f t="shared" si="16"/>
        <v>1487.8000000000002</v>
      </c>
      <c r="S380" s="15">
        <f t="shared" si="17"/>
        <v>1755.604</v>
      </c>
    </row>
    <row r="381" spans="1:19" x14ac:dyDescent="0.3">
      <c r="A381">
        <v>200010076</v>
      </c>
      <c r="B381">
        <v>273715040</v>
      </c>
      <c r="C381" s="11">
        <v>46230</v>
      </c>
      <c r="D381" s="1">
        <v>874314958053</v>
      </c>
      <c r="E381">
        <v>42666</v>
      </c>
      <c r="F381" t="s">
        <v>28</v>
      </c>
      <c r="G381" s="12">
        <v>0.5</v>
      </c>
      <c r="K381" s="12">
        <v>0</v>
      </c>
      <c r="L381" t="s">
        <v>20</v>
      </c>
      <c r="M381" s="2">
        <v>1031.7</v>
      </c>
      <c r="N381" s="2">
        <v>42.5</v>
      </c>
      <c r="P381" s="2">
        <v>413.6</v>
      </c>
      <c r="Q381" s="13">
        <f t="shared" si="15"/>
        <v>0.38503072053621301</v>
      </c>
      <c r="R381" s="14">
        <f t="shared" si="16"/>
        <v>1487.8000000000002</v>
      </c>
      <c r="S381" s="15">
        <f t="shared" si="17"/>
        <v>1755.604</v>
      </c>
    </row>
    <row r="382" spans="1:19" x14ac:dyDescent="0.3">
      <c r="A382">
        <v>200010076</v>
      </c>
      <c r="B382">
        <v>273715040</v>
      </c>
      <c r="C382" s="11">
        <v>46230</v>
      </c>
      <c r="D382" s="1">
        <v>874314966875</v>
      </c>
      <c r="E382">
        <v>42660</v>
      </c>
      <c r="F382" t="s">
        <v>28</v>
      </c>
      <c r="G382" s="12">
        <v>0.5</v>
      </c>
      <c r="K382" s="12">
        <v>0</v>
      </c>
      <c r="L382" t="s">
        <v>20</v>
      </c>
      <c r="M382" s="2">
        <v>1031.7</v>
      </c>
      <c r="N382" s="2">
        <v>42.5</v>
      </c>
      <c r="P382" s="2">
        <v>413.6</v>
      </c>
      <c r="Q382" s="13">
        <f t="shared" si="15"/>
        <v>0.38503072053621301</v>
      </c>
      <c r="R382" s="14">
        <f t="shared" si="16"/>
        <v>1487.8000000000002</v>
      </c>
      <c r="S382" s="15">
        <f t="shared" si="17"/>
        <v>1755.604</v>
      </c>
    </row>
    <row r="383" spans="1:19" x14ac:dyDescent="0.3">
      <c r="A383">
        <v>200010076</v>
      </c>
      <c r="B383">
        <v>273715040</v>
      </c>
      <c r="C383" s="11">
        <v>46230</v>
      </c>
      <c r="D383" s="1">
        <v>874314974288</v>
      </c>
      <c r="E383">
        <v>42677</v>
      </c>
      <c r="F383" t="s">
        <v>28</v>
      </c>
      <c r="G383" s="12">
        <v>0.5</v>
      </c>
      <c r="K383" s="12">
        <v>0</v>
      </c>
      <c r="L383" t="s">
        <v>20</v>
      </c>
      <c r="M383" s="2">
        <v>1031.7</v>
      </c>
      <c r="N383" s="2">
        <v>42.5</v>
      </c>
      <c r="P383" s="2">
        <v>413.6</v>
      </c>
      <c r="Q383" s="13">
        <f t="shared" si="15"/>
        <v>0.38503072053621301</v>
      </c>
      <c r="R383" s="14">
        <f t="shared" si="16"/>
        <v>1487.8000000000002</v>
      </c>
      <c r="S383" s="15">
        <f t="shared" si="17"/>
        <v>1755.604</v>
      </c>
    </row>
    <row r="384" spans="1:19" x14ac:dyDescent="0.3">
      <c r="A384">
        <v>200010076</v>
      </c>
      <c r="B384">
        <v>273715040</v>
      </c>
      <c r="C384" s="11">
        <v>46230</v>
      </c>
      <c r="D384" s="1">
        <v>874314978868</v>
      </c>
      <c r="E384">
        <v>42662</v>
      </c>
      <c r="F384" t="s">
        <v>28</v>
      </c>
      <c r="G384" s="12">
        <v>0.5</v>
      </c>
      <c r="K384" s="12">
        <v>0</v>
      </c>
      <c r="L384" t="s">
        <v>20</v>
      </c>
      <c r="M384" s="2">
        <v>1031.7</v>
      </c>
      <c r="N384" s="2">
        <v>42.5</v>
      </c>
      <c r="P384" s="2">
        <v>413.6</v>
      </c>
      <c r="Q384" s="13">
        <f t="shared" si="15"/>
        <v>0.38503072053621301</v>
      </c>
      <c r="R384" s="14">
        <f t="shared" si="16"/>
        <v>1487.8000000000002</v>
      </c>
      <c r="S384" s="15">
        <f t="shared" si="17"/>
        <v>1755.604</v>
      </c>
    </row>
    <row r="385" spans="1:19" x14ac:dyDescent="0.3">
      <c r="A385">
        <v>200010076</v>
      </c>
      <c r="B385">
        <v>273715040</v>
      </c>
      <c r="C385" s="11">
        <v>46230</v>
      </c>
      <c r="D385" s="1">
        <v>874314986384</v>
      </c>
      <c r="E385">
        <v>42687</v>
      </c>
      <c r="F385" t="s">
        <v>28</v>
      </c>
      <c r="G385" s="12">
        <v>0.5</v>
      </c>
      <c r="K385" s="12">
        <v>0</v>
      </c>
      <c r="L385" t="s">
        <v>20</v>
      </c>
      <c r="M385" s="2">
        <v>1031.7</v>
      </c>
      <c r="N385" s="2">
        <v>42.5</v>
      </c>
      <c r="P385" s="2">
        <v>413.6</v>
      </c>
      <c r="Q385" s="13">
        <f t="shared" si="15"/>
        <v>0.38503072053621301</v>
      </c>
      <c r="R385" s="14">
        <f t="shared" si="16"/>
        <v>1487.8000000000002</v>
      </c>
      <c r="S385" s="15">
        <f t="shared" si="17"/>
        <v>1755.604</v>
      </c>
    </row>
    <row r="386" spans="1:19" x14ac:dyDescent="0.3">
      <c r="A386">
        <v>200010076</v>
      </c>
      <c r="B386">
        <v>273715040</v>
      </c>
      <c r="C386" s="11">
        <v>46230</v>
      </c>
      <c r="D386" s="1">
        <v>874314991269</v>
      </c>
      <c r="E386">
        <v>42703</v>
      </c>
      <c r="F386" t="s">
        <v>28</v>
      </c>
      <c r="G386" s="12">
        <v>0.5</v>
      </c>
      <c r="K386" s="12">
        <v>0</v>
      </c>
      <c r="L386" t="s">
        <v>20</v>
      </c>
      <c r="M386" s="2">
        <v>1031.7</v>
      </c>
      <c r="N386" s="2">
        <v>42.5</v>
      </c>
      <c r="P386" s="2">
        <v>413.6</v>
      </c>
      <c r="Q386" s="13">
        <f t="shared" si="15"/>
        <v>0.38503072053621301</v>
      </c>
      <c r="R386" s="14">
        <f t="shared" si="16"/>
        <v>1487.8000000000002</v>
      </c>
      <c r="S386" s="15">
        <f t="shared" si="17"/>
        <v>1755.604</v>
      </c>
    </row>
    <row r="387" spans="1:19" x14ac:dyDescent="0.3">
      <c r="A387">
        <v>200010076</v>
      </c>
      <c r="B387">
        <v>273715040</v>
      </c>
      <c r="C387" s="11">
        <v>46230</v>
      </c>
      <c r="D387" s="1">
        <v>874314997955</v>
      </c>
      <c r="E387">
        <v>42683</v>
      </c>
      <c r="F387" t="s">
        <v>28</v>
      </c>
      <c r="G387" s="12">
        <v>0.5</v>
      </c>
      <c r="K387" s="12">
        <v>0</v>
      </c>
      <c r="L387" t="s">
        <v>20</v>
      </c>
      <c r="M387" s="2">
        <v>1031.7</v>
      </c>
      <c r="N387" s="2">
        <v>42.5</v>
      </c>
      <c r="P387" s="2">
        <v>413.6</v>
      </c>
      <c r="Q387" s="13">
        <f t="shared" si="15"/>
        <v>0.38503072053621301</v>
      </c>
      <c r="R387" s="14">
        <f t="shared" si="16"/>
        <v>1487.8000000000002</v>
      </c>
      <c r="S387" s="15">
        <f t="shared" si="17"/>
        <v>1755.604</v>
      </c>
    </row>
    <row r="388" spans="1:19" x14ac:dyDescent="0.3">
      <c r="A388">
        <v>200010076</v>
      </c>
      <c r="B388">
        <v>273715040</v>
      </c>
      <c r="C388" s="11">
        <v>46230</v>
      </c>
      <c r="D388" s="1">
        <v>874315001343</v>
      </c>
      <c r="E388">
        <v>42775</v>
      </c>
      <c r="F388" t="s">
        <v>28</v>
      </c>
      <c r="G388" s="12">
        <v>0.5</v>
      </c>
      <c r="K388" s="12">
        <v>0</v>
      </c>
      <c r="L388" t="s">
        <v>20</v>
      </c>
      <c r="M388" s="2">
        <v>1031.7</v>
      </c>
      <c r="N388" s="2">
        <v>42.5</v>
      </c>
      <c r="P388" s="2">
        <v>413.6</v>
      </c>
      <c r="Q388" s="13">
        <f t="shared" si="15"/>
        <v>0.38503072053621301</v>
      </c>
      <c r="R388" s="14">
        <f t="shared" si="16"/>
        <v>1487.8000000000002</v>
      </c>
      <c r="S388" s="15">
        <f t="shared" si="17"/>
        <v>1755.604</v>
      </c>
    </row>
    <row r="389" spans="1:19" x14ac:dyDescent="0.3">
      <c r="A389">
        <v>200010076</v>
      </c>
      <c r="B389">
        <v>273715040</v>
      </c>
      <c r="C389" s="11">
        <v>46230</v>
      </c>
      <c r="D389" s="1">
        <v>874315004857</v>
      </c>
      <c r="E389">
        <v>42669</v>
      </c>
      <c r="F389" t="s">
        <v>28</v>
      </c>
      <c r="G389" s="12">
        <v>0.5</v>
      </c>
      <c r="K389" s="12">
        <v>0</v>
      </c>
      <c r="L389" t="s">
        <v>20</v>
      </c>
      <c r="M389" s="2">
        <v>1031.7</v>
      </c>
      <c r="N389" s="2">
        <v>42.5</v>
      </c>
      <c r="P389" s="2">
        <v>413.6</v>
      </c>
      <c r="Q389" s="13">
        <f t="shared" si="15"/>
        <v>0.38503072053621301</v>
      </c>
      <c r="R389" s="14">
        <f t="shared" si="16"/>
        <v>1487.8000000000002</v>
      </c>
      <c r="S389" s="15">
        <f t="shared" si="17"/>
        <v>1755.604</v>
      </c>
    </row>
    <row r="390" spans="1:19" x14ac:dyDescent="0.3">
      <c r="A390">
        <v>200010076</v>
      </c>
      <c r="B390">
        <v>273715040</v>
      </c>
      <c r="C390" s="11">
        <v>46230</v>
      </c>
      <c r="D390" s="1">
        <v>874315011723</v>
      </c>
      <c r="E390">
        <v>42771</v>
      </c>
      <c r="F390" t="s">
        <v>28</v>
      </c>
      <c r="G390" s="12">
        <v>0.5</v>
      </c>
      <c r="K390" s="12">
        <v>0</v>
      </c>
      <c r="L390" t="s">
        <v>20</v>
      </c>
      <c r="M390" s="2">
        <v>1031.7</v>
      </c>
      <c r="N390" s="2">
        <v>42.5</v>
      </c>
      <c r="P390" s="2">
        <v>413.6</v>
      </c>
      <c r="Q390" s="13">
        <f t="shared" si="15"/>
        <v>0.38503072053621301</v>
      </c>
      <c r="R390" s="14">
        <f t="shared" si="16"/>
        <v>1487.8000000000002</v>
      </c>
      <c r="S390" s="15">
        <f t="shared" si="17"/>
        <v>1755.604</v>
      </c>
    </row>
    <row r="391" spans="1:19" x14ac:dyDescent="0.3">
      <c r="A391">
        <v>200010076</v>
      </c>
      <c r="B391">
        <v>273715040</v>
      </c>
      <c r="C391" s="11">
        <v>46230</v>
      </c>
      <c r="D391" s="1">
        <v>874315019367</v>
      </c>
      <c r="E391">
        <v>42768</v>
      </c>
      <c r="F391" t="s">
        <v>28</v>
      </c>
      <c r="G391" s="12">
        <v>0.5</v>
      </c>
      <c r="K391" s="12">
        <v>0</v>
      </c>
      <c r="L391" t="s">
        <v>20</v>
      </c>
      <c r="M391" s="2">
        <v>1031.7</v>
      </c>
      <c r="N391" s="2">
        <v>42.5</v>
      </c>
      <c r="P391" s="2">
        <v>413.6</v>
      </c>
      <c r="Q391" s="13">
        <f t="shared" si="15"/>
        <v>0.38503072053621301</v>
      </c>
      <c r="R391" s="14">
        <f t="shared" si="16"/>
        <v>1487.8000000000002</v>
      </c>
      <c r="S391" s="15">
        <f t="shared" si="17"/>
        <v>1755.604</v>
      </c>
    </row>
    <row r="392" spans="1:19" x14ac:dyDescent="0.3">
      <c r="A392">
        <v>200010076</v>
      </c>
      <c r="B392">
        <v>273715040</v>
      </c>
      <c r="C392" s="11">
        <v>46230</v>
      </c>
      <c r="D392" s="1">
        <v>874315029964</v>
      </c>
      <c r="E392">
        <v>42760</v>
      </c>
      <c r="F392" t="s">
        <v>28</v>
      </c>
      <c r="G392" s="12">
        <v>0.5</v>
      </c>
      <c r="K392" s="12">
        <v>0</v>
      </c>
      <c r="L392" t="s">
        <v>20</v>
      </c>
      <c r="M392" s="2">
        <v>1031.7</v>
      </c>
      <c r="N392" s="2">
        <v>42.5</v>
      </c>
      <c r="P392" s="2">
        <v>413.6</v>
      </c>
      <c r="Q392" s="13">
        <f t="shared" si="15"/>
        <v>0.38503072053621301</v>
      </c>
      <c r="R392" s="14">
        <f t="shared" si="16"/>
        <v>1487.8000000000002</v>
      </c>
      <c r="S392" s="15">
        <f t="shared" si="17"/>
        <v>1755.604</v>
      </c>
    </row>
    <row r="393" spans="1:19" x14ac:dyDescent="0.3">
      <c r="A393">
        <v>200010076</v>
      </c>
      <c r="B393">
        <v>273715040</v>
      </c>
      <c r="C393" s="11">
        <v>46230</v>
      </c>
      <c r="D393" s="1">
        <v>874315038134</v>
      </c>
      <c r="E393">
        <v>42690</v>
      </c>
      <c r="F393" t="s">
        <v>28</v>
      </c>
      <c r="G393" s="12">
        <v>0.5</v>
      </c>
      <c r="K393" s="12">
        <v>0</v>
      </c>
      <c r="L393" t="s">
        <v>20</v>
      </c>
      <c r="M393" s="2">
        <v>1031.7</v>
      </c>
      <c r="N393" s="2">
        <v>42.5</v>
      </c>
      <c r="P393" s="2">
        <v>413.6</v>
      </c>
      <c r="Q393" s="13">
        <f t="shared" ref="Q393:Q456" si="18">+P393/SUM(M393:O393)</f>
        <v>0.38503072053621301</v>
      </c>
      <c r="R393" s="14">
        <f t="shared" ref="R393:R456" si="19">SUM(M393:P393)</f>
        <v>1487.8000000000002</v>
      </c>
      <c r="S393" s="15">
        <f t="shared" ref="S393:S456" si="20">+R393*1.18</f>
        <v>1755.604</v>
      </c>
    </row>
    <row r="394" spans="1:19" x14ac:dyDescent="0.3">
      <c r="A394">
        <v>200010076</v>
      </c>
      <c r="B394">
        <v>273715040</v>
      </c>
      <c r="C394" s="11">
        <v>46230</v>
      </c>
      <c r="D394" s="1">
        <v>874315042321</v>
      </c>
      <c r="E394">
        <v>42682</v>
      </c>
      <c r="F394" t="s">
        <v>28</v>
      </c>
      <c r="G394" s="12">
        <v>0.5</v>
      </c>
      <c r="K394" s="12">
        <v>0</v>
      </c>
      <c r="L394" t="s">
        <v>20</v>
      </c>
      <c r="M394" s="2">
        <v>1031.7</v>
      </c>
      <c r="N394" s="2">
        <v>42.5</v>
      </c>
      <c r="P394" s="2">
        <v>413.6</v>
      </c>
      <c r="Q394" s="13">
        <f t="shared" si="18"/>
        <v>0.38503072053621301</v>
      </c>
      <c r="R394" s="14">
        <f t="shared" si="19"/>
        <v>1487.8000000000002</v>
      </c>
      <c r="S394" s="15">
        <f t="shared" si="20"/>
        <v>1755.604</v>
      </c>
    </row>
    <row r="395" spans="1:19" x14ac:dyDescent="0.3">
      <c r="A395">
        <v>200010076</v>
      </c>
      <c r="B395">
        <v>273715040</v>
      </c>
      <c r="C395" s="11">
        <v>46230</v>
      </c>
      <c r="D395" s="1">
        <v>874315048683</v>
      </c>
      <c r="E395">
        <v>42711</v>
      </c>
      <c r="F395" t="s">
        <v>28</v>
      </c>
      <c r="G395" s="12">
        <v>0.5</v>
      </c>
      <c r="K395" s="12">
        <v>0</v>
      </c>
      <c r="L395" t="s">
        <v>20</v>
      </c>
      <c r="M395" s="2">
        <v>1031.7</v>
      </c>
      <c r="N395" s="2">
        <v>42.5</v>
      </c>
      <c r="P395" s="2">
        <v>413.6</v>
      </c>
      <c r="Q395" s="13">
        <f t="shared" si="18"/>
        <v>0.38503072053621301</v>
      </c>
      <c r="R395" s="14">
        <f t="shared" si="19"/>
        <v>1487.8000000000002</v>
      </c>
      <c r="S395" s="15">
        <f t="shared" si="20"/>
        <v>1755.604</v>
      </c>
    </row>
    <row r="396" spans="1:19" x14ac:dyDescent="0.3">
      <c r="A396">
        <v>200010076</v>
      </c>
      <c r="B396">
        <v>273715040</v>
      </c>
      <c r="C396" s="11">
        <v>46230</v>
      </c>
      <c r="D396" s="1">
        <v>874315054748</v>
      </c>
      <c r="E396">
        <v>42761</v>
      </c>
      <c r="F396" t="s">
        <v>28</v>
      </c>
      <c r="G396" s="12">
        <v>0.5</v>
      </c>
      <c r="K396" s="12">
        <v>0</v>
      </c>
      <c r="L396" t="s">
        <v>20</v>
      </c>
      <c r="M396" s="2">
        <v>1031.7</v>
      </c>
      <c r="N396" s="2">
        <v>42.5</v>
      </c>
      <c r="P396" s="2">
        <v>413.6</v>
      </c>
      <c r="Q396" s="13">
        <f t="shared" si="18"/>
        <v>0.38503072053621301</v>
      </c>
      <c r="R396" s="14">
        <f t="shared" si="19"/>
        <v>1487.8000000000002</v>
      </c>
      <c r="S396" s="15">
        <f t="shared" si="20"/>
        <v>1755.604</v>
      </c>
    </row>
    <row r="397" spans="1:19" x14ac:dyDescent="0.3">
      <c r="A397">
        <v>200010076</v>
      </c>
      <c r="B397">
        <v>273715040</v>
      </c>
      <c r="C397" s="11">
        <v>46230</v>
      </c>
      <c r="D397" s="1">
        <v>874380764992</v>
      </c>
      <c r="E397">
        <v>41531</v>
      </c>
      <c r="F397" t="s">
        <v>29</v>
      </c>
      <c r="G397" s="12">
        <v>17</v>
      </c>
      <c r="H397">
        <v>50</v>
      </c>
      <c r="I397">
        <v>46</v>
      </c>
      <c r="J397">
        <v>43</v>
      </c>
      <c r="K397" s="12">
        <v>17</v>
      </c>
      <c r="L397" t="s">
        <v>20</v>
      </c>
      <c r="M397" s="2">
        <v>6794</v>
      </c>
      <c r="N397" s="2">
        <v>1122</v>
      </c>
      <c r="O397" s="2">
        <v>180</v>
      </c>
      <c r="P397" s="2">
        <v>3047.7</v>
      </c>
      <c r="Q397" s="13">
        <f t="shared" si="18"/>
        <v>0.3764451581027668</v>
      </c>
      <c r="R397" s="14">
        <f t="shared" si="19"/>
        <v>11143.7</v>
      </c>
      <c r="S397" s="15">
        <f t="shared" si="20"/>
        <v>13149.566000000001</v>
      </c>
    </row>
    <row r="398" spans="1:19" x14ac:dyDescent="0.3">
      <c r="A398">
        <v>200010076</v>
      </c>
      <c r="B398">
        <v>273715040</v>
      </c>
      <c r="C398" s="11">
        <v>46230</v>
      </c>
      <c r="D398" s="1">
        <v>874380770369</v>
      </c>
      <c r="E398">
        <v>40019</v>
      </c>
      <c r="F398" t="s">
        <v>29</v>
      </c>
      <c r="G398" s="12">
        <v>8</v>
      </c>
      <c r="H398">
        <v>66</v>
      </c>
      <c r="I398">
        <v>27</v>
      </c>
      <c r="J398">
        <v>25</v>
      </c>
      <c r="K398" s="12">
        <v>8</v>
      </c>
      <c r="L398" t="s">
        <v>20</v>
      </c>
      <c r="M398" s="2">
        <v>3069.3</v>
      </c>
      <c r="N398" s="2">
        <v>528</v>
      </c>
      <c r="O398" s="2">
        <v>180</v>
      </c>
      <c r="P398" s="2">
        <v>1385</v>
      </c>
      <c r="Q398" s="13">
        <f t="shared" si="18"/>
        <v>0.36666401927302567</v>
      </c>
      <c r="R398" s="14">
        <f t="shared" si="19"/>
        <v>5162.3</v>
      </c>
      <c r="S398" s="15">
        <f t="shared" si="20"/>
        <v>6091.5140000000001</v>
      </c>
    </row>
    <row r="399" spans="1:19" x14ac:dyDescent="0.3">
      <c r="A399">
        <v>200010076</v>
      </c>
      <c r="B399">
        <v>273715040</v>
      </c>
      <c r="C399" s="11">
        <v>46230</v>
      </c>
      <c r="D399" s="1">
        <v>874380775599</v>
      </c>
      <c r="E399">
        <v>41683</v>
      </c>
      <c r="F399" t="s">
        <v>29</v>
      </c>
      <c r="G399" s="12">
        <v>10.5</v>
      </c>
      <c r="H399">
        <v>81</v>
      </c>
      <c r="I399">
        <v>27</v>
      </c>
      <c r="J399">
        <v>27</v>
      </c>
      <c r="K399" s="12">
        <v>10.5</v>
      </c>
      <c r="L399" t="s">
        <v>20</v>
      </c>
      <c r="M399" s="2">
        <v>4575.1000000000004</v>
      </c>
      <c r="N399" s="2">
        <v>693</v>
      </c>
      <c r="O399" s="2">
        <v>180</v>
      </c>
      <c r="P399" s="2">
        <v>2028.2</v>
      </c>
      <c r="Q399" s="13">
        <f t="shared" si="18"/>
        <v>0.37227657348433396</v>
      </c>
      <c r="R399" s="14">
        <f t="shared" si="19"/>
        <v>7476.3</v>
      </c>
      <c r="S399" s="15">
        <f t="shared" si="20"/>
        <v>8822.0339999999997</v>
      </c>
    </row>
    <row r="400" spans="1:19" x14ac:dyDescent="0.3">
      <c r="A400">
        <v>200010076</v>
      </c>
      <c r="B400">
        <v>273715040</v>
      </c>
      <c r="C400" s="11">
        <v>46230</v>
      </c>
      <c r="D400" s="1">
        <v>874380778348</v>
      </c>
      <c r="E400">
        <v>41310</v>
      </c>
      <c r="F400" t="s">
        <v>29</v>
      </c>
      <c r="G400" s="12">
        <v>4.5</v>
      </c>
      <c r="H400">
        <v>51</v>
      </c>
      <c r="I400">
        <v>22</v>
      </c>
      <c r="J400">
        <v>21</v>
      </c>
      <c r="K400" s="12">
        <v>4.5</v>
      </c>
      <c r="L400" t="s">
        <v>20</v>
      </c>
      <c r="M400" s="2">
        <v>2098.9</v>
      </c>
      <c r="N400" s="2">
        <v>297</v>
      </c>
      <c r="O400" s="2">
        <v>180</v>
      </c>
      <c r="P400" s="2">
        <v>922.4</v>
      </c>
      <c r="Q400" s="13">
        <f t="shared" si="18"/>
        <v>0.35808843511005861</v>
      </c>
      <c r="R400" s="14">
        <f t="shared" si="19"/>
        <v>3498.3</v>
      </c>
      <c r="S400" s="15">
        <f t="shared" si="20"/>
        <v>4127.9939999999997</v>
      </c>
    </row>
    <row r="401" spans="1:19" x14ac:dyDescent="0.3">
      <c r="A401">
        <v>200010076</v>
      </c>
      <c r="B401">
        <v>273715040</v>
      </c>
      <c r="C401" s="11">
        <v>46230</v>
      </c>
      <c r="D401" s="1">
        <v>874380786931</v>
      </c>
      <c r="E401">
        <v>4101341671</v>
      </c>
      <c r="F401" t="s">
        <v>29</v>
      </c>
      <c r="G401" s="12">
        <v>7.5</v>
      </c>
      <c r="H401">
        <v>58</v>
      </c>
      <c r="I401">
        <v>27</v>
      </c>
      <c r="J401">
        <v>27</v>
      </c>
      <c r="K401" s="12">
        <v>7.5</v>
      </c>
      <c r="L401" t="s">
        <v>20</v>
      </c>
      <c r="M401" s="2">
        <v>2954.2</v>
      </c>
      <c r="N401" s="2">
        <v>495</v>
      </c>
      <c r="O401" s="2">
        <v>180</v>
      </c>
      <c r="P401" s="2">
        <v>1327.9</v>
      </c>
      <c r="Q401" s="13">
        <f t="shared" si="18"/>
        <v>0.36589330982034612</v>
      </c>
      <c r="R401" s="14">
        <f t="shared" si="19"/>
        <v>4957.1000000000004</v>
      </c>
      <c r="S401" s="15">
        <f t="shared" si="20"/>
        <v>5849.3779999999997</v>
      </c>
    </row>
    <row r="402" spans="1:19" x14ac:dyDescent="0.3">
      <c r="A402">
        <v>200010076</v>
      </c>
      <c r="B402">
        <v>273715040</v>
      </c>
      <c r="C402" s="11">
        <v>46230</v>
      </c>
      <c r="D402" s="1">
        <v>874380790279</v>
      </c>
      <c r="E402">
        <v>4095253600</v>
      </c>
      <c r="F402" t="s">
        <v>29</v>
      </c>
      <c r="G402" s="12">
        <v>5</v>
      </c>
      <c r="H402">
        <v>44</v>
      </c>
      <c r="I402">
        <v>26</v>
      </c>
      <c r="J402">
        <v>25</v>
      </c>
      <c r="K402" s="12">
        <v>5</v>
      </c>
      <c r="L402" t="s">
        <v>20</v>
      </c>
      <c r="M402" s="2">
        <v>2231.6999999999998</v>
      </c>
      <c r="N402" s="2">
        <v>330</v>
      </c>
      <c r="O402" s="2">
        <v>180</v>
      </c>
      <c r="P402" s="2">
        <v>986.3</v>
      </c>
      <c r="Q402" s="13">
        <f t="shared" si="18"/>
        <v>0.35974030710872817</v>
      </c>
      <c r="R402" s="14">
        <f t="shared" si="19"/>
        <v>3728</v>
      </c>
      <c r="S402" s="15">
        <f t="shared" si="20"/>
        <v>4399.04</v>
      </c>
    </row>
    <row r="403" spans="1:19" x14ac:dyDescent="0.3">
      <c r="A403">
        <v>200010076</v>
      </c>
      <c r="B403">
        <v>273715040</v>
      </c>
      <c r="C403" s="11">
        <v>46230</v>
      </c>
      <c r="D403" s="1">
        <v>874380806293</v>
      </c>
      <c r="E403">
        <v>4105447977</v>
      </c>
      <c r="F403" t="s">
        <v>29</v>
      </c>
      <c r="G403" s="12">
        <v>5.5</v>
      </c>
      <c r="H403">
        <v>54</v>
      </c>
      <c r="I403">
        <v>24</v>
      </c>
      <c r="J403">
        <v>23</v>
      </c>
      <c r="K403" s="12">
        <v>5.5</v>
      </c>
      <c r="L403" t="s">
        <v>20</v>
      </c>
      <c r="M403" s="2">
        <v>2494</v>
      </c>
      <c r="N403" s="2">
        <v>363</v>
      </c>
      <c r="O403" s="2">
        <v>180</v>
      </c>
      <c r="P403" s="2">
        <v>1100</v>
      </c>
      <c r="Q403" s="13">
        <f t="shared" si="18"/>
        <v>0.3621995390187685</v>
      </c>
      <c r="R403" s="14">
        <f t="shared" si="19"/>
        <v>4137</v>
      </c>
      <c r="S403" s="15">
        <f t="shared" si="20"/>
        <v>4881.66</v>
      </c>
    </row>
    <row r="404" spans="1:19" x14ac:dyDescent="0.3">
      <c r="A404">
        <v>200010076</v>
      </c>
      <c r="B404">
        <v>273715040</v>
      </c>
      <c r="C404" s="11">
        <v>46230</v>
      </c>
      <c r="D404" s="1">
        <v>874380812829</v>
      </c>
      <c r="E404">
        <v>4102253502</v>
      </c>
      <c r="F404" t="s">
        <v>29</v>
      </c>
      <c r="G404" s="12">
        <v>32.5</v>
      </c>
      <c r="H404">
        <v>113</v>
      </c>
      <c r="I404">
        <v>41</v>
      </c>
      <c r="J404">
        <v>41</v>
      </c>
      <c r="K404" s="12">
        <v>32.5</v>
      </c>
      <c r="L404" t="s">
        <v>20</v>
      </c>
      <c r="M404" s="2">
        <v>12764.5</v>
      </c>
      <c r="N404" s="2">
        <v>2145</v>
      </c>
      <c r="O404" s="2">
        <f>210+2235</f>
        <v>2445</v>
      </c>
      <c r="P404" s="2">
        <v>6600.7</v>
      </c>
      <c r="Q404" s="13">
        <f t="shared" si="18"/>
        <v>0.38034515543518971</v>
      </c>
      <c r="R404" s="14">
        <f t="shared" si="19"/>
        <v>23955.200000000001</v>
      </c>
      <c r="S404" s="15">
        <f t="shared" si="20"/>
        <v>28267.135999999999</v>
      </c>
    </row>
    <row r="405" spans="1:19" x14ac:dyDescent="0.3">
      <c r="A405">
        <v>200010076</v>
      </c>
      <c r="B405">
        <v>273715040</v>
      </c>
      <c r="C405" s="11">
        <v>46230</v>
      </c>
      <c r="D405" s="1">
        <v>874380822500</v>
      </c>
      <c r="E405">
        <v>39506</v>
      </c>
      <c r="F405" t="s">
        <v>29</v>
      </c>
      <c r="G405" s="12">
        <v>6</v>
      </c>
      <c r="H405">
        <v>51</v>
      </c>
      <c r="I405">
        <v>28</v>
      </c>
      <c r="J405">
        <v>24</v>
      </c>
      <c r="K405" s="12">
        <v>6</v>
      </c>
      <c r="L405" t="s">
        <v>20</v>
      </c>
      <c r="M405" s="2">
        <v>2609.1</v>
      </c>
      <c r="N405" s="2">
        <v>396</v>
      </c>
      <c r="O405" s="2">
        <v>180</v>
      </c>
      <c r="P405" s="2">
        <v>1157</v>
      </c>
      <c r="Q405" s="13">
        <f t="shared" si="18"/>
        <v>0.36325390097642146</v>
      </c>
      <c r="R405" s="14">
        <f t="shared" si="19"/>
        <v>4342.1000000000004</v>
      </c>
      <c r="S405" s="15">
        <f t="shared" si="20"/>
        <v>5123.6779999999999</v>
      </c>
    </row>
    <row r="406" spans="1:19" x14ac:dyDescent="0.3">
      <c r="A406">
        <v>200010076</v>
      </c>
      <c r="B406">
        <v>273715040</v>
      </c>
      <c r="C406" s="11">
        <v>46230</v>
      </c>
      <c r="D406" s="1">
        <v>874380828060</v>
      </c>
      <c r="E406">
        <v>40191</v>
      </c>
      <c r="F406" t="s">
        <v>29</v>
      </c>
      <c r="G406" s="12">
        <v>6.5</v>
      </c>
      <c r="H406">
        <v>65</v>
      </c>
      <c r="I406">
        <v>24</v>
      </c>
      <c r="J406">
        <v>23</v>
      </c>
      <c r="K406" s="12">
        <v>6.5</v>
      </c>
      <c r="L406" t="s">
        <v>20</v>
      </c>
      <c r="M406" s="2">
        <v>2724.1</v>
      </c>
      <c r="N406" s="2">
        <v>429</v>
      </c>
      <c r="O406" s="2">
        <v>180</v>
      </c>
      <c r="P406" s="2">
        <v>1213.9000000000001</v>
      </c>
      <c r="Q406" s="13">
        <f t="shared" si="18"/>
        <v>0.36419549368455795</v>
      </c>
      <c r="R406" s="14">
        <f t="shared" si="19"/>
        <v>4547</v>
      </c>
      <c r="S406" s="15">
        <f t="shared" si="20"/>
        <v>5365.46</v>
      </c>
    </row>
    <row r="407" spans="1:19" x14ac:dyDescent="0.3">
      <c r="A407">
        <v>200010076</v>
      </c>
      <c r="B407">
        <v>273715040</v>
      </c>
      <c r="C407" s="11">
        <v>46230</v>
      </c>
      <c r="D407" s="1">
        <v>874380838439</v>
      </c>
      <c r="E407">
        <v>40690</v>
      </c>
      <c r="F407" t="s">
        <v>29</v>
      </c>
      <c r="G407" s="12">
        <v>15.5</v>
      </c>
      <c r="H407">
        <v>107</v>
      </c>
      <c r="I407">
        <v>29</v>
      </c>
      <c r="J407">
        <v>29</v>
      </c>
      <c r="K407" s="12">
        <v>15.5</v>
      </c>
      <c r="L407" t="s">
        <v>20</v>
      </c>
      <c r="M407" s="2">
        <v>6282</v>
      </c>
      <c r="N407" s="2">
        <v>1023</v>
      </c>
      <c r="O407" s="2">
        <v>180</v>
      </c>
      <c r="P407" s="2">
        <v>2812.4</v>
      </c>
      <c r="Q407" s="13">
        <f t="shared" si="18"/>
        <v>0.3757381429525718</v>
      </c>
      <c r="R407" s="14">
        <f t="shared" si="19"/>
        <v>10297.4</v>
      </c>
      <c r="S407" s="15">
        <f t="shared" si="20"/>
        <v>12150.931999999999</v>
      </c>
    </row>
    <row r="408" spans="1:19" x14ac:dyDescent="0.3">
      <c r="A408">
        <v>200010076</v>
      </c>
      <c r="B408">
        <v>273715040</v>
      </c>
      <c r="C408" s="11">
        <v>46230</v>
      </c>
      <c r="D408" s="1">
        <v>874380843644</v>
      </c>
      <c r="E408">
        <v>41781</v>
      </c>
      <c r="F408" t="s">
        <v>29</v>
      </c>
      <c r="G408" s="12">
        <v>13</v>
      </c>
      <c r="H408">
        <v>95</v>
      </c>
      <c r="I408">
        <v>29</v>
      </c>
      <c r="J408">
        <v>27</v>
      </c>
      <c r="K408" s="12">
        <v>13</v>
      </c>
      <c r="L408" t="s">
        <v>20</v>
      </c>
      <c r="M408" s="2">
        <v>5428.5</v>
      </c>
      <c r="N408" s="2">
        <v>858</v>
      </c>
      <c r="O408" s="2">
        <v>180</v>
      </c>
      <c r="P408" s="2">
        <v>2420.3000000000002</v>
      </c>
      <c r="Q408" s="13">
        <f t="shared" si="18"/>
        <v>0.37428284234129749</v>
      </c>
      <c r="R408" s="14">
        <f t="shared" si="19"/>
        <v>8886.7999999999993</v>
      </c>
      <c r="S408" s="15">
        <f t="shared" si="20"/>
        <v>10486.423999999999</v>
      </c>
    </row>
    <row r="409" spans="1:19" x14ac:dyDescent="0.3">
      <c r="A409">
        <v>200010076</v>
      </c>
      <c r="B409">
        <v>273715040</v>
      </c>
      <c r="C409" s="11">
        <v>46230</v>
      </c>
      <c r="D409" s="1">
        <v>874380848922</v>
      </c>
      <c r="E409">
        <v>41829</v>
      </c>
      <c r="F409" t="s">
        <v>29</v>
      </c>
      <c r="G409" s="12">
        <v>3.5</v>
      </c>
      <c r="H409">
        <v>43</v>
      </c>
      <c r="I409">
        <v>25</v>
      </c>
      <c r="J409">
        <v>19</v>
      </c>
      <c r="K409" s="12">
        <v>3.5</v>
      </c>
      <c r="L409" t="s">
        <v>20</v>
      </c>
      <c r="M409" s="2">
        <v>1833.3</v>
      </c>
      <c r="N409" s="2">
        <v>231</v>
      </c>
      <c r="O409" s="2">
        <v>180</v>
      </c>
      <c r="P409" s="2">
        <v>794.8</v>
      </c>
      <c r="Q409" s="13">
        <f t="shared" si="18"/>
        <v>0.35414160317248133</v>
      </c>
      <c r="R409" s="14">
        <f t="shared" si="19"/>
        <v>3039.1000000000004</v>
      </c>
      <c r="S409" s="15">
        <f t="shared" si="20"/>
        <v>3586.1380000000004</v>
      </c>
    </row>
    <row r="410" spans="1:19" x14ac:dyDescent="0.3">
      <c r="A410">
        <v>200010076</v>
      </c>
      <c r="B410">
        <v>273715040</v>
      </c>
      <c r="C410" s="11">
        <v>46230</v>
      </c>
      <c r="D410" s="1">
        <v>874380853656</v>
      </c>
      <c r="E410">
        <v>40076</v>
      </c>
      <c r="F410" t="s">
        <v>29</v>
      </c>
      <c r="G410" s="12">
        <v>7</v>
      </c>
      <c r="H410">
        <v>70</v>
      </c>
      <c r="I410">
        <v>25</v>
      </c>
      <c r="J410">
        <v>23</v>
      </c>
      <c r="K410" s="12">
        <v>7</v>
      </c>
      <c r="L410" t="s">
        <v>20</v>
      </c>
      <c r="M410" s="2">
        <v>2839.2</v>
      </c>
      <c r="N410" s="2">
        <v>462</v>
      </c>
      <c r="O410" s="2">
        <v>180</v>
      </c>
      <c r="P410" s="2">
        <v>1271</v>
      </c>
      <c r="Q410" s="13">
        <f t="shared" si="18"/>
        <v>0.36510398713087444</v>
      </c>
      <c r="R410" s="14">
        <f t="shared" si="19"/>
        <v>4752.2</v>
      </c>
      <c r="S410" s="15">
        <f t="shared" si="20"/>
        <v>5607.5959999999995</v>
      </c>
    </row>
    <row r="411" spans="1:19" x14ac:dyDescent="0.3">
      <c r="A411">
        <v>200010076</v>
      </c>
      <c r="B411">
        <v>273715040</v>
      </c>
      <c r="C411" s="11">
        <v>46230</v>
      </c>
      <c r="D411" s="1">
        <v>874380857710</v>
      </c>
      <c r="E411">
        <v>42016</v>
      </c>
      <c r="F411" t="s">
        <v>29</v>
      </c>
      <c r="G411" s="12">
        <v>8</v>
      </c>
      <c r="H411">
        <v>58</v>
      </c>
      <c r="I411">
        <v>29</v>
      </c>
      <c r="J411">
        <v>27</v>
      </c>
      <c r="K411" s="12">
        <v>8</v>
      </c>
      <c r="L411" t="s">
        <v>20</v>
      </c>
      <c r="M411" s="2">
        <v>3069.3</v>
      </c>
      <c r="N411" s="2">
        <v>528</v>
      </c>
      <c r="O411" s="2">
        <v>180</v>
      </c>
      <c r="P411" s="2">
        <v>1385</v>
      </c>
      <c r="Q411" s="13">
        <f t="shared" si="18"/>
        <v>0.36666401927302567</v>
      </c>
      <c r="R411" s="14">
        <f t="shared" si="19"/>
        <v>5162.3</v>
      </c>
      <c r="S411" s="15">
        <f t="shared" si="20"/>
        <v>6091.5140000000001</v>
      </c>
    </row>
    <row r="412" spans="1:19" x14ac:dyDescent="0.3">
      <c r="A412">
        <v>200010076</v>
      </c>
      <c r="B412">
        <v>273715040</v>
      </c>
      <c r="C412" s="11">
        <v>46230</v>
      </c>
      <c r="D412" s="1">
        <v>874380862352</v>
      </c>
      <c r="E412">
        <v>41174</v>
      </c>
      <c r="F412" t="s">
        <v>29</v>
      </c>
      <c r="G412" s="12">
        <v>6</v>
      </c>
      <c r="H412">
        <v>49</v>
      </c>
      <c r="I412">
        <v>28</v>
      </c>
      <c r="J412">
        <v>25</v>
      </c>
      <c r="K412" s="12">
        <v>6</v>
      </c>
      <c r="L412" t="s">
        <v>20</v>
      </c>
      <c r="M412" s="2">
        <v>2609.1</v>
      </c>
      <c r="N412" s="2">
        <v>396</v>
      </c>
      <c r="O412" s="2">
        <v>180</v>
      </c>
      <c r="P412" s="2">
        <v>1157</v>
      </c>
      <c r="Q412" s="13">
        <f t="shared" si="18"/>
        <v>0.36325390097642146</v>
      </c>
      <c r="R412" s="14">
        <f t="shared" si="19"/>
        <v>4342.1000000000004</v>
      </c>
      <c r="S412" s="15">
        <f t="shared" si="20"/>
        <v>5123.6779999999999</v>
      </c>
    </row>
    <row r="413" spans="1:19" x14ac:dyDescent="0.3">
      <c r="A413">
        <v>200010076</v>
      </c>
      <c r="B413">
        <v>273715040</v>
      </c>
      <c r="C413" s="11">
        <v>46230</v>
      </c>
      <c r="D413" s="1">
        <v>874380869184</v>
      </c>
      <c r="E413">
        <v>42169</v>
      </c>
      <c r="F413" t="s">
        <v>29</v>
      </c>
      <c r="G413" s="12">
        <v>9.5</v>
      </c>
      <c r="H413">
        <v>94</v>
      </c>
      <c r="I413">
        <v>25</v>
      </c>
      <c r="J413">
        <v>23</v>
      </c>
      <c r="K413" s="12">
        <v>9.5</v>
      </c>
      <c r="L413" t="s">
        <v>20</v>
      </c>
      <c r="M413" s="2">
        <v>3414.5</v>
      </c>
      <c r="N413" s="2">
        <v>627</v>
      </c>
      <c r="O413" s="2">
        <v>180</v>
      </c>
      <c r="P413" s="2">
        <v>1556</v>
      </c>
      <c r="Q413" s="13">
        <f t="shared" si="18"/>
        <v>0.36858936397015279</v>
      </c>
      <c r="R413" s="14">
        <f t="shared" si="19"/>
        <v>5777.5</v>
      </c>
      <c r="S413" s="15">
        <f t="shared" si="20"/>
        <v>6817.45</v>
      </c>
    </row>
    <row r="414" spans="1:19" x14ac:dyDescent="0.3">
      <c r="A414">
        <v>200010076</v>
      </c>
      <c r="B414">
        <v>273715040</v>
      </c>
      <c r="C414" s="11">
        <v>46230</v>
      </c>
      <c r="D414" s="1">
        <v>874380872423</v>
      </c>
      <c r="E414">
        <v>40167</v>
      </c>
      <c r="F414" t="s">
        <v>29</v>
      </c>
      <c r="G414" s="12">
        <v>9</v>
      </c>
      <c r="H414">
        <v>68</v>
      </c>
      <c r="I414">
        <v>28</v>
      </c>
      <c r="J414">
        <v>27</v>
      </c>
      <c r="K414" s="12">
        <v>9</v>
      </c>
      <c r="L414" t="s">
        <v>20</v>
      </c>
      <c r="M414" s="2">
        <v>3299.4</v>
      </c>
      <c r="N414" s="2">
        <v>594</v>
      </c>
      <c r="O414" s="2">
        <v>180</v>
      </c>
      <c r="P414" s="2">
        <v>1499</v>
      </c>
      <c r="Q414" s="13">
        <f t="shared" si="18"/>
        <v>0.36799725045416604</v>
      </c>
      <c r="R414" s="14">
        <f t="shared" si="19"/>
        <v>5572.4</v>
      </c>
      <c r="S414" s="15">
        <f t="shared" si="20"/>
        <v>6575.4319999999989</v>
      </c>
    </row>
    <row r="415" spans="1:19" x14ac:dyDescent="0.3">
      <c r="A415">
        <v>200010076</v>
      </c>
      <c r="B415">
        <v>273715040</v>
      </c>
      <c r="C415" s="11">
        <v>46230</v>
      </c>
      <c r="D415" s="1">
        <v>874380877697</v>
      </c>
      <c r="E415">
        <v>40753</v>
      </c>
      <c r="F415" t="s">
        <v>29</v>
      </c>
      <c r="G415" s="12">
        <v>7</v>
      </c>
      <c r="H415">
        <v>64</v>
      </c>
      <c r="I415">
        <v>26</v>
      </c>
      <c r="J415">
        <v>24</v>
      </c>
      <c r="K415" s="12">
        <v>7</v>
      </c>
      <c r="L415" t="s">
        <v>20</v>
      </c>
      <c r="M415" s="2">
        <v>2839.2</v>
      </c>
      <c r="N415" s="2">
        <v>462</v>
      </c>
      <c r="O415" s="2">
        <v>180</v>
      </c>
      <c r="P415" s="2">
        <v>1271</v>
      </c>
      <c r="Q415" s="13">
        <f t="shared" si="18"/>
        <v>0.36510398713087444</v>
      </c>
      <c r="R415" s="14">
        <f t="shared" si="19"/>
        <v>4752.2</v>
      </c>
      <c r="S415" s="15">
        <f t="shared" si="20"/>
        <v>5607.5959999999995</v>
      </c>
    </row>
    <row r="416" spans="1:19" x14ac:dyDescent="0.3">
      <c r="A416">
        <v>200010076</v>
      </c>
      <c r="B416">
        <v>273715040</v>
      </c>
      <c r="C416" s="11">
        <v>46230</v>
      </c>
      <c r="D416" s="1">
        <v>874380881163</v>
      </c>
      <c r="E416">
        <v>41215</v>
      </c>
      <c r="F416" t="s">
        <v>29</v>
      </c>
      <c r="G416" s="12">
        <v>4</v>
      </c>
      <c r="H416">
        <v>49</v>
      </c>
      <c r="I416">
        <v>21</v>
      </c>
      <c r="J416">
        <v>20</v>
      </c>
      <c r="K416" s="12">
        <v>4</v>
      </c>
      <c r="L416" t="s">
        <v>20</v>
      </c>
      <c r="M416" s="2">
        <v>1966.1</v>
      </c>
      <c r="N416" s="2">
        <v>264</v>
      </c>
      <c r="O416" s="2">
        <v>180</v>
      </c>
      <c r="P416" s="2">
        <v>858.6</v>
      </c>
      <c r="Q416" s="13">
        <f t="shared" si="18"/>
        <v>0.35625077797601762</v>
      </c>
      <c r="R416" s="14">
        <f t="shared" si="19"/>
        <v>3268.7</v>
      </c>
      <c r="S416" s="15">
        <f t="shared" si="20"/>
        <v>3857.0659999999998</v>
      </c>
    </row>
    <row r="417" spans="1:19" x14ac:dyDescent="0.3">
      <c r="A417">
        <v>200010076</v>
      </c>
      <c r="B417">
        <v>273715040</v>
      </c>
      <c r="C417" s="11">
        <v>46230</v>
      </c>
      <c r="D417" s="1">
        <v>874380894299</v>
      </c>
      <c r="E417">
        <v>41726</v>
      </c>
      <c r="F417" t="s">
        <v>29</v>
      </c>
      <c r="G417" s="12">
        <v>11.5</v>
      </c>
      <c r="H417">
        <v>98</v>
      </c>
      <c r="I417">
        <v>26</v>
      </c>
      <c r="J417">
        <v>26</v>
      </c>
      <c r="K417" s="12">
        <v>11.5</v>
      </c>
      <c r="L417" t="s">
        <v>20</v>
      </c>
      <c r="M417" s="2">
        <v>4916.5</v>
      </c>
      <c r="N417" s="2">
        <v>759</v>
      </c>
      <c r="O417" s="2">
        <v>180</v>
      </c>
      <c r="P417" s="2">
        <v>2185.1</v>
      </c>
      <c r="Q417" s="13">
        <f t="shared" si="18"/>
        <v>0.3731705234395013</v>
      </c>
      <c r="R417" s="14">
        <f t="shared" si="19"/>
        <v>8040.6</v>
      </c>
      <c r="S417" s="15">
        <f t="shared" si="20"/>
        <v>9487.9079999999994</v>
      </c>
    </row>
    <row r="418" spans="1:19" x14ac:dyDescent="0.3">
      <c r="A418">
        <v>200010076</v>
      </c>
      <c r="B418">
        <v>273715040</v>
      </c>
      <c r="C418" s="11">
        <v>46230</v>
      </c>
      <c r="D418" s="1">
        <v>874380902691</v>
      </c>
      <c r="E418">
        <v>40034</v>
      </c>
      <c r="F418" t="s">
        <v>29</v>
      </c>
      <c r="G418" s="12">
        <v>6</v>
      </c>
      <c r="H418">
        <v>47</v>
      </c>
      <c r="I418">
        <v>27</v>
      </c>
      <c r="J418">
        <v>27</v>
      </c>
      <c r="K418" s="12">
        <v>6</v>
      </c>
      <c r="L418" t="s">
        <v>20</v>
      </c>
      <c r="M418" s="2">
        <v>2609.1</v>
      </c>
      <c r="N418" s="2">
        <v>396</v>
      </c>
      <c r="O418" s="2">
        <v>180</v>
      </c>
      <c r="P418" s="2">
        <v>1157</v>
      </c>
      <c r="Q418" s="13">
        <f t="shared" si="18"/>
        <v>0.36325390097642146</v>
      </c>
      <c r="R418" s="14">
        <f t="shared" si="19"/>
        <v>4342.1000000000004</v>
      </c>
      <c r="S418" s="15">
        <f t="shared" si="20"/>
        <v>5123.6779999999999</v>
      </c>
    </row>
    <row r="419" spans="1:19" x14ac:dyDescent="0.3">
      <c r="A419">
        <v>200010076</v>
      </c>
      <c r="B419">
        <v>273715040</v>
      </c>
      <c r="C419" s="11">
        <v>46230</v>
      </c>
      <c r="D419" s="1">
        <v>874380906035</v>
      </c>
      <c r="E419">
        <v>40711</v>
      </c>
      <c r="F419" t="s">
        <v>29</v>
      </c>
      <c r="G419" s="12">
        <v>34.5</v>
      </c>
      <c r="H419">
        <v>95</v>
      </c>
      <c r="I419">
        <v>47</v>
      </c>
      <c r="J419">
        <v>45</v>
      </c>
      <c r="K419" s="12">
        <v>34.5</v>
      </c>
      <c r="L419" t="s">
        <v>20</v>
      </c>
      <c r="M419" s="2">
        <v>13527.9</v>
      </c>
      <c r="N419" s="2">
        <v>2277</v>
      </c>
      <c r="O419" s="2">
        <f>2235+180</f>
        <v>2415</v>
      </c>
      <c r="P419" s="2">
        <v>6945.4</v>
      </c>
      <c r="Q419" s="13">
        <f t="shared" si="18"/>
        <v>0.38119857957507997</v>
      </c>
      <c r="R419" s="14">
        <f t="shared" si="19"/>
        <v>25165.300000000003</v>
      </c>
      <c r="S419" s="15">
        <f t="shared" si="20"/>
        <v>29695.054</v>
      </c>
    </row>
    <row r="420" spans="1:19" x14ac:dyDescent="0.3">
      <c r="A420">
        <v>200010076</v>
      </c>
      <c r="B420">
        <v>273715040</v>
      </c>
      <c r="C420" s="11">
        <v>46230</v>
      </c>
      <c r="D420" s="1">
        <v>874380911148</v>
      </c>
      <c r="E420">
        <v>40424</v>
      </c>
      <c r="F420" t="s">
        <v>29</v>
      </c>
      <c r="G420" s="12">
        <v>14.5</v>
      </c>
      <c r="H420">
        <v>71</v>
      </c>
      <c r="I420">
        <v>36</v>
      </c>
      <c r="J420">
        <v>33</v>
      </c>
      <c r="K420" s="12">
        <v>14.5</v>
      </c>
      <c r="L420" t="s">
        <v>20</v>
      </c>
      <c r="M420" s="2">
        <v>5940.6</v>
      </c>
      <c r="N420" s="2">
        <v>957</v>
      </c>
      <c r="P420" s="2">
        <v>2655.6</v>
      </c>
      <c r="Q420" s="13">
        <f t="shared" si="18"/>
        <v>0.38500347947112035</v>
      </c>
      <c r="R420" s="14">
        <f t="shared" si="19"/>
        <v>9553.2000000000007</v>
      </c>
      <c r="S420" s="15">
        <f t="shared" si="20"/>
        <v>11272.776</v>
      </c>
    </row>
    <row r="421" spans="1:19" x14ac:dyDescent="0.3">
      <c r="A421">
        <v>200010076</v>
      </c>
      <c r="B421">
        <v>273715040</v>
      </c>
      <c r="C421" s="11">
        <v>46230</v>
      </c>
      <c r="D421" s="1">
        <v>874380911972</v>
      </c>
      <c r="E421">
        <v>41316</v>
      </c>
      <c r="F421" t="s">
        <v>29</v>
      </c>
      <c r="G421" s="12">
        <v>8</v>
      </c>
      <c r="H421">
        <v>56</v>
      </c>
      <c r="I421">
        <v>29</v>
      </c>
      <c r="J421">
        <v>28</v>
      </c>
      <c r="K421" s="12">
        <v>8</v>
      </c>
      <c r="L421" t="s">
        <v>20</v>
      </c>
      <c r="M421" s="2">
        <v>3069.3</v>
      </c>
      <c r="N421" s="2">
        <v>528</v>
      </c>
      <c r="O421" s="2">
        <v>180</v>
      </c>
      <c r="P421" s="2">
        <v>1385</v>
      </c>
      <c r="Q421" s="13">
        <f t="shared" si="18"/>
        <v>0.36666401927302567</v>
      </c>
      <c r="R421" s="14">
        <f t="shared" si="19"/>
        <v>5162.3</v>
      </c>
      <c r="S421" s="15">
        <f t="shared" si="20"/>
        <v>6091.5140000000001</v>
      </c>
    </row>
    <row r="422" spans="1:19" x14ac:dyDescent="0.3">
      <c r="A422">
        <v>200010076</v>
      </c>
      <c r="B422">
        <v>273715040</v>
      </c>
      <c r="C422" s="11">
        <v>46230</v>
      </c>
      <c r="D422" s="1">
        <v>874380919594</v>
      </c>
      <c r="E422">
        <v>38408</v>
      </c>
      <c r="F422" t="s">
        <v>29</v>
      </c>
      <c r="G422" s="12">
        <v>8</v>
      </c>
      <c r="H422">
        <v>70</v>
      </c>
      <c r="I422">
        <v>26</v>
      </c>
      <c r="J422">
        <v>25</v>
      </c>
      <c r="K422" s="12">
        <v>8</v>
      </c>
      <c r="L422" t="s">
        <v>20</v>
      </c>
      <c r="M422" s="2">
        <v>3069.3</v>
      </c>
      <c r="N422" s="2">
        <v>528</v>
      </c>
      <c r="O422" s="2">
        <v>180</v>
      </c>
      <c r="P422" s="2">
        <v>1385</v>
      </c>
      <c r="Q422" s="13">
        <f t="shared" si="18"/>
        <v>0.36666401927302567</v>
      </c>
      <c r="R422" s="14">
        <f t="shared" si="19"/>
        <v>5162.3</v>
      </c>
      <c r="S422" s="15">
        <f t="shared" si="20"/>
        <v>6091.5140000000001</v>
      </c>
    </row>
    <row r="423" spans="1:19" x14ac:dyDescent="0.3">
      <c r="A423">
        <v>200010076</v>
      </c>
      <c r="B423">
        <v>273715040</v>
      </c>
      <c r="C423" s="11">
        <v>46230</v>
      </c>
      <c r="D423" s="1">
        <v>874380932617</v>
      </c>
      <c r="E423">
        <v>40688</v>
      </c>
      <c r="F423" t="s">
        <v>29</v>
      </c>
      <c r="G423" s="12">
        <v>1.81</v>
      </c>
      <c r="H423">
        <v>45</v>
      </c>
      <c r="I423">
        <v>20</v>
      </c>
      <c r="J423">
        <v>18</v>
      </c>
      <c r="K423" s="12">
        <v>2.7</v>
      </c>
      <c r="L423" t="s">
        <v>20</v>
      </c>
      <c r="M423" s="2">
        <v>1700.6</v>
      </c>
      <c r="N423" s="2">
        <v>198</v>
      </c>
      <c r="O423" s="2">
        <v>180</v>
      </c>
      <c r="P423" s="2">
        <v>731</v>
      </c>
      <c r="Q423" s="13">
        <f t="shared" si="18"/>
        <v>0.35167901472144714</v>
      </c>
      <c r="R423" s="14">
        <f t="shared" si="19"/>
        <v>2809.6</v>
      </c>
      <c r="S423" s="15">
        <f t="shared" si="20"/>
        <v>3315.3279999999995</v>
      </c>
    </row>
    <row r="424" spans="1:19" x14ac:dyDescent="0.3">
      <c r="A424">
        <v>200010076</v>
      </c>
      <c r="B424">
        <v>273715040</v>
      </c>
      <c r="C424" s="11">
        <v>46230</v>
      </c>
      <c r="D424" s="1">
        <v>874380935720</v>
      </c>
      <c r="E424">
        <v>40787</v>
      </c>
      <c r="F424" t="s">
        <v>29</v>
      </c>
      <c r="G424" s="12">
        <v>8</v>
      </c>
      <c r="H424">
        <v>52</v>
      </c>
      <c r="I424">
        <v>29</v>
      </c>
      <c r="J424">
        <v>29</v>
      </c>
      <c r="K424" s="12">
        <v>8</v>
      </c>
      <c r="L424" t="s">
        <v>20</v>
      </c>
      <c r="M424" s="2">
        <v>3069.3</v>
      </c>
      <c r="N424" s="2">
        <v>528</v>
      </c>
      <c r="O424" s="2">
        <v>180</v>
      </c>
      <c r="P424" s="2">
        <v>1385</v>
      </c>
      <c r="Q424" s="13">
        <f t="shared" si="18"/>
        <v>0.36666401927302567</v>
      </c>
      <c r="R424" s="14">
        <f t="shared" si="19"/>
        <v>5162.3</v>
      </c>
      <c r="S424" s="15">
        <f t="shared" si="20"/>
        <v>6091.5140000000001</v>
      </c>
    </row>
    <row r="425" spans="1:19" x14ac:dyDescent="0.3">
      <c r="A425">
        <v>200010076</v>
      </c>
      <c r="B425">
        <v>273715040</v>
      </c>
      <c r="C425" s="11">
        <v>46230</v>
      </c>
      <c r="D425" s="1">
        <v>874380942592</v>
      </c>
      <c r="E425">
        <v>40636</v>
      </c>
      <c r="F425" t="s">
        <v>29</v>
      </c>
      <c r="G425" s="12">
        <v>5.5</v>
      </c>
      <c r="H425">
        <v>42</v>
      </c>
      <c r="I425">
        <v>27</v>
      </c>
      <c r="J425">
        <v>27</v>
      </c>
      <c r="K425" s="12">
        <v>5.5</v>
      </c>
      <c r="L425" t="s">
        <v>20</v>
      </c>
      <c r="M425" s="2">
        <v>2494</v>
      </c>
      <c r="N425" s="2">
        <v>363</v>
      </c>
      <c r="O425" s="2">
        <v>180</v>
      </c>
      <c r="P425" s="2">
        <v>1100</v>
      </c>
      <c r="Q425" s="13">
        <f t="shared" si="18"/>
        <v>0.3621995390187685</v>
      </c>
      <c r="R425" s="14">
        <f t="shared" si="19"/>
        <v>4137</v>
      </c>
      <c r="S425" s="15">
        <f t="shared" si="20"/>
        <v>4881.66</v>
      </c>
    </row>
    <row r="426" spans="1:19" x14ac:dyDescent="0.3">
      <c r="A426">
        <v>200010076</v>
      </c>
      <c r="B426">
        <v>273715040</v>
      </c>
      <c r="C426" s="11">
        <v>46230</v>
      </c>
      <c r="D426" s="1">
        <v>874380958477</v>
      </c>
      <c r="E426">
        <v>40791</v>
      </c>
      <c r="F426" t="s">
        <v>29</v>
      </c>
      <c r="G426" s="12">
        <v>5</v>
      </c>
      <c r="H426">
        <v>44</v>
      </c>
      <c r="I426">
        <v>26</v>
      </c>
      <c r="J426">
        <v>25</v>
      </c>
      <c r="K426" s="12">
        <v>5</v>
      </c>
      <c r="L426" t="s">
        <v>20</v>
      </c>
      <c r="M426" s="2">
        <v>2231.6999999999998</v>
      </c>
      <c r="N426" s="2">
        <v>330</v>
      </c>
      <c r="O426" s="2">
        <v>180</v>
      </c>
      <c r="P426" s="2">
        <v>986.3</v>
      </c>
      <c r="Q426" s="13">
        <f t="shared" si="18"/>
        <v>0.35974030710872817</v>
      </c>
      <c r="R426" s="14">
        <f t="shared" si="19"/>
        <v>3728</v>
      </c>
      <c r="S426" s="15">
        <f t="shared" si="20"/>
        <v>4399.04</v>
      </c>
    </row>
    <row r="427" spans="1:19" x14ac:dyDescent="0.3">
      <c r="A427">
        <v>200010076</v>
      </c>
      <c r="B427">
        <v>273715040</v>
      </c>
      <c r="C427" s="11">
        <v>46230</v>
      </c>
      <c r="D427" s="1">
        <v>874380965376</v>
      </c>
      <c r="E427">
        <v>41705</v>
      </c>
      <c r="F427" t="s">
        <v>29</v>
      </c>
      <c r="G427" s="12">
        <v>5.5</v>
      </c>
      <c r="H427">
        <v>58</v>
      </c>
      <c r="I427">
        <v>24</v>
      </c>
      <c r="J427">
        <v>22</v>
      </c>
      <c r="K427" s="12">
        <v>5.5</v>
      </c>
      <c r="L427" t="s">
        <v>20</v>
      </c>
      <c r="M427" s="2">
        <v>2494</v>
      </c>
      <c r="N427" s="2">
        <v>363</v>
      </c>
      <c r="O427" s="2">
        <v>180</v>
      </c>
      <c r="P427" s="2">
        <v>1100</v>
      </c>
      <c r="Q427" s="13">
        <f t="shared" si="18"/>
        <v>0.3621995390187685</v>
      </c>
      <c r="R427" s="14">
        <f t="shared" si="19"/>
        <v>4137</v>
      </c>
      <c r="S427" s="15">
        <f t="shared" si="20"/>
        <v>4881.66</v>
      </c>
    </row>
    <row r="428" spans="1:19" x14ac:dyDescent="0.3">
      <c r="A428">
        <v>200010076</v>
      </c>
      <c r="B428">
        <v>273715040</v>
      </c>
      <c r="C428" s="11">
        <v>46230</v>
      </c>
      <c r="D428" s="1">
        <v>874380976395</v>
      </c>
      <c r="E428">
        <v>38744</v>
      </c>
      <c r="F428" t="s">
        <v>29</v>
      </c>
      <c r="G428" s="12">
        <v>15</v>
      </c>
      <c r="H428">
        <v>94</v>
      </c>
      <c r="I428">
        <v>31</v>
      </c>
      <c r="J428">
        <v>30</v>
      </c>
      <c r="K428" s="12">
        <v>15</v>
      </c>
      <c r="L428" t="s">
        <v>20</v>
      </c>
      <c r="M428" s="2">
        <v>6111.3</v>
      </c>
      <c r="N428" s="2">
        <v>990</v>
      </c>
      <c r="O428" s="2">
        <v>180</v>
      </c>
      <c r="P428" s="2">
        <v>2734</v>
      </c>
      <c r="Q428" s="13">
        <f t="shared" si="18"/>
        <v>0.37548240012085754</v>
      </c>
      <c r="R428" s="14">
        <f t="shared" si="19"/>
        <v>10015.299999999999</v>
      </c>
      <c r="S428" s="15">
        <f t="shared" si="20"/>
        <v>11818.053999999998</v>
      </c>
    </row>
    <row r="429" spans="1:19" x14ac:dyDescent="0.3">
      <c r="A429">
        <v>200010076</v>
      </c>
      <c r="B429">
        <v>273715040</v>
      </c>
      <c r="C429" s="11">
        <v>46230</v>
      </c>
      <c r="D429" s="1">
        <v>874380978994</v>
      </c>
      <c r="E429">
        <v>42113</v>
      </c>
      <c r="F429" t="s">
        <v>29</v>
      </c>
      <c r="G429" s="12">
        <v>5.5</v>
      </c>
      <c r="H429">
        <v>49</v>
      </c>
      <c r="I429">
        <v>25</v>
      </c>
      <c r="J429">
        <v>25</v>
      </c>
      <c r="K429" s="12">
        <v>5.5</v>
      </c>
      <c r="L429" t="s">
        <v>20</v>
      </c>
      <c r="M429" s="2">
        <v>2494</v>
      </c>
      <c r="N429" s="2">
        <v>363</v>
      </c>
      <c r="O429" s="2">
        <v>180</v>
      </c>
      <c r="P429" s="2">
        <v>1100</v>
      </c>
      <c r="Q429" s="13">
        <f t="shared" si="18"/>
        <v>0.3621995390187685</v>
      </c>
      <c r="R429" s="14">
        <f t="shared" si="19"/>
        <v>4137</v>
      </c>
      <c r="S429" s="15">
        <f t="shared" si="20"/>
        <v>4881.66</v>
      </c>
    </row>
    <row r="430" spans="1:19" x14ac:dyDescent="0.3">
      <c r="A430">
        <v>200010076</v>
      </c>
      <c r="B430">
        <v>273715040</v>
      </c>
      <c r="C430" s="11">
        <v>46230</v>
      </c>
      <c r="D430" s="1">
        <v>874380982368</v>
      </c>
      <c r="E430">
        <v>41178</v>
      </c>
      <c r="F430" t="s">
        <v>29</v>
      </c>
      <c r="G430" s="12">
        <v>3</v>
      </c>
      <c r="H430">
        <v>42</v>
      </c>
      <c r="I430">
        <v>20</v>
      </c>
      <c r="J430">
        <v>19</v>
      </c>
      <c r="K430" s="12">
        <v>3</v>
      </c>
      <c r="L430" t="s">
        <v>20</v>
      </c>
      <c r="M430" s="2">
        <v>1700.6</v>
      </c>
      <c r="N430" s="2">
        <v>198</v>
      </c>
      <c r="O430" s="2">
        <v>180</v>
      </c>
      <c r="P430" s="2">
        <v>731</v>
      </c>
      <c r="Q430" s="13">
        <f t="shared" si="18"/>
        <v>0.35167901472144714</v>
      </c>
      <c r="R430" s="14">
        <f t="shared" si="19"/>
        <v>2809.6</v>
      </c>
      <c r="S430" s="15">
        <f t="shared" si="20"/>
        <v>3315.3279999999995</v>
      </c>
    </row>
    <row r="431" spans="1:19" x14ac:dyDescent="0.3">
      <c r="A431">
        <v>200010076</v>
      </c>
      <c r="B431">
        <v>273715040</v>
      </c>
      <c r="C431" s="11">
        <v>46230</v>
      </c>
      <c r="D431" s="1">
        <v>874380994052</v>
      </c>
      <c r="E431">
        <v>40197</v>
      </c>
      <c r="F431" t="s">
        <v>29</v>
      </c>
      <c r="G431" s="12">
        <v>16.5</v>
      </c>
      <c r="H431">
        <v>114</v>
      </c>
      <c r="I431">
        <v>29</v>
      </c>
      <c r="J431">
        <v>29</v>
      </c>
      <c r="K431" s="12">
        <v>16.5</v>
      </c>
      <c r="L431" t="s">
        <v>20</v>
      </c>
      <c r="M431" s="2">
        <v>6623.3</v>
      </c>
      <c r="N431" s="2">
        <v>1089</v>
      </c>
      <c r="O431" s="2">
        <v>180</v>
      </c>
      <c r="P431" s="2">
        <v>2969.2</v>
      </c>
      <c r="Q431" s="13">
        <f t="shared" si="18"/>
        <v>0.3762147916323505</v>
      </c>
      <c r="R431" s="14">
        <f t="shared" si="19"/>
        <v>10861.5</v>
      </c>
      <c r="S431" s="15">
        <f t="shared" si="20"/>
        <v>12816.57</v>
      </c>
    </row>
    <row r="432" spans="1:19" x14ac:dyDescent="0.3">
      <c r="A432">
        <v>200010076</v>
      </c>
      <c r="B432">
        <v>273715040</v>
      </c>
      <c r="C432" s="11">
        <v>46230</v>
      </c>
      <c r="D432" s="1">
        <v>874381020270</v>
      </c>
      <c r="E432">
        <v>41597</v>
      </c>
      <c r="F432" t="s">
        <v>29</v>
      </c>
      <c r="G432" s="12">
        <v>4</v>
      </c>
      <c r="H432">
        <v>48</v>
      </c>
      <c r="I432">
        <v>22</v>
      </c>
      <c r="J432">
        <v>21</v>
      </c>
      <c r="K432" s="12">
        <v>4</v>
      </c>
      <c r="L432" t="s">
        <v>20</v>
      </c>
      <c r="M432" s="2">
        <v>1966.1</v>
      </c>
      <c r="N432" s="2">
        <v>264</v>
      </c>
      <c r="O432" s="2">
        <v>180</v>
      </c>
      <c r="P432" s="2">
        <v>858.6</v>
      </c>
      <c r="Q432" s="13">
        <f t="shared" si="18"/>
        <v>0.35625077797601762</v>
      </c>
      <c r="R432" s="14">
        <f t="shared" si="19"/>
        <v>3268.7</v>
      </c>
      <c r="S432" s="15">
        <f t="shared" si="20"/>
        <v>3857.0659999999998</v>
      </c>
    </row>
    <row r="433" spans="1:19" x14ac:dyDescent="0.3">
      <c r="A433">
        <v>200010076</v>
      </c>
      <c r="B433">
        <v>273715040</v>
      </c>
      <c r="C433" s="11">
        <v>46230</v>
      </c>
      <c r="D433" s="1">
        <v>874381027653</v>
      </c>
      <c r="E433">
        <v>41650</v>
      </c>
      <c r="F433" t="s">
        <v>29</v>
      </c>
      <c r="G433" s="12">
        <v>1</v>
      </c>
      <c r="H433">
        <v>29</v>
      </c>
      <c r="I433">
        <v>15</v>
      </c>
      <c r="J433">
        <v>13</v>
      </c>
      <c r="K433" s="12">
        <v>1</v>
      </c>
      <c r="L433" t="s">
        <v>20</v>
      </c>
      <c r="M433" s="2">
        <v>1194.8</v>
      </c>
      <c r="N433" s="2">
        <v>66</v>
      </c>
      <c r="P433" s="2">
        <v>485.4</v>
      </c>
      <c r="Q433" s="13">
        <f t="shared" si="18"/>
        <v>0.384993654822335</v>
      </c>
      <c r="R433" s="14">
        <f t="shared" si="19"/>
        <v>1746.1999999999998</v>
      </c>
      <c r="S433" s="15">
        <f t="shared" si="20"/>
        <v>2060.5159999999996</v>
      </c>
    </row>
    <row r="434" spans="1:19" x14ac:dyDescent="0.3">
      <c r="A434">
        <v>200010076</v>
      </c>
      <c r="B434">
        <v>273715040</v>
      </c>
      <c r="C434" s="11">
        <v>46230</v>
      </c>
      <c r="D434" s="1">
        <v>874381041175</v>
      </c>
      <c r="E434">
        <v>41041</v>
      </c>
      <c r="F434" t="s">
        <v>29</v>
      </c>
      <c r="G434" s="12">
        <v>7.5</v>
      </c>
      <c r="H434">
        <v>60</v>
      </c>
      <c r="I434">
        <v>28</v>
      </c>
      <c r="J434">
        <v>26</v>
      </c>
      <c r="K434" s="12">
        <v>7.5</v>
      </c>
      <c r="L434" t="s">
        <v>20</v>
      </c>
      <c r="M434" s="2">
        <v>2954.2</v>
      </c>
      <c r="N434" s="2">
        <v>495</v>
      </c>
      <c r="O434" s="2">
        <v>180</v>
      </c>
      <c r="P434" s="2">
        <v>1327.9</v>
      </c>
      <c r="Q434" s="13">
        <f t="shared" si="18"/>
        <v>0.36589330982034612</v>
      </c>
      <c r="R434" s="14">
        <f t="shared" si="19"/>
        <v>4957.1000000000004</v>
      </c>
      <c r="S434" s="15">
        <f t="shared" si="20"/>
        <v>5849.3779999999997</v>
      </c>
    </row>
    <row r="435" spans="1:19" x14ac:dyDescent="0.3">
      <c r="A435">
        <v>200010076</v>
      </c>
      <c r="B435">
        <v>273715040</v>
      </c>
      <c r="C435" s="11">
        <v>46230</v>
      </c>
      <c r="D435" s="1">
        <v>874381053124</v>
      </c>
      <c r="E435">
        <v>40687</v>
      </c>
      <c r="F435" t="s">
        <v>29</v>
      </c>
      <c r="G435" s="12">
        <v>6.5</v>
      </c>
      <c r="H435">
        <v>57</v>
      </c>
      <c r="I435">
        <v>26</v>
      </c>
      <c r="J435">
        <v>26</v>
      </c>
      <c r="K435" s="12">
        <v>6.5</v>
      </c>
      <c r="L435" t="s">
        <v>20</v>
      </c>
      <c r="M435" s="2">
        <v>2724.1</v>
      </c>
      <c r="N435" s="2">
        <v>429</v>
      </c>
      <c r="O435" s="2">
        <v>180</v>
      </c>
      <c r="P435" s="2">
        <v>1213.9000000000001</v>
      </c>
      <c r="Q435" s="13">
        <f t="shared" si="18"/>
        <v>0.36419549368455795</v>
      </c>
      <c r="R435" s="14">
        <f t="shared" si="19"/>
        <v>4547</v>
      </c>
      <c r="S435" s="15">
        <f t="shared" si="20"/>
        <v>5365.46</v>
      </c>
    </row>
    <row r="436" spans="1:19" x14ac:dyDescent="0.3">
      <c r="A436">
        <v>200010076</v>
      </c>
      <c r="B436">
        <v>273715040</v>
      </c>
      <c r="C436" s="11">
        <v>46230</v>
      </c>
      <c r="D436" s="1">
        <v>874381057830</v>
      </c>
      <c r="E436">
        <v>40112</v>
      </c>
      <c r="F436" t="s">
        <v>29</v>
      </c>
      <c r="G436" s="12">
        <v>13.5</v>
      </c>
      <c r="H436">
        <v>71</v>
      </c>
      <c r="I436">
        <v>33</v>
      </c>
      <c r="J436">
        <v>33</v>
      </c>
      <c r="K436" s="12">
        <v>13.5</v>
      </c>
      <c r="L436" t="s">
        <v>20</v>
      </c>
      <c r="M436" s="2">
        <v>5599.2</v>
      </c>
      <c r="N436" s="2">
        <v>891</v>
      </c>
      <c r="O436" s="2">
        <v>180</v>
      </c>
      <c r="P436" s="2">
        <v>2498.6999999999998</v>
      </c>
      <c r="Q436" s="13">
        <f t="shared" si="18"/>
        <v>0.37460645857695418</v>
      </c>
      <c r="R436" s="14">
        <f t="shared" si="19"/>
        <v>9168.9</v>
      </c>
      <c r="S436" s="15">
        <f t="shared" si="20"/>
        <v>10819.302</v>
      </c>
    </row>
    <row r="437" spans="1:19" x14ac:dyDescent="0.3">
      <c r="A437">
        <v>200010076</v>
      </c>
      <c r="B437">
        <v>273715040</v>
      </c>
      <c r="C437" s="11">
        <v>46230</v>
      </c>
      <c r="D437" s="1">
        <v>874381064316</v>
      </c>
      <c r="E437">
        <v>40621</v>
      </c>
      <c r="F437" t="s">
        <v>29</v>
      </c>
      <c r="G437" s="12">
        <v>13.5</v>
      </c>
      <c r="H437">
        <v>58</v>
      </c>
      <c r="I437">
        <v>37</v>
      </c>
      <c r="J437">
        <v>36</v>
      </c>
      <c r="K437" s="12">
        <v>13.5</v>
      </c>
      <c r="L437" t="s">
        <v>20</v>
      </c>
      <c r="M437" s="2">
        <v>5599.2</v>
      </c>
      <c r="N437" s="2">
        <v>891</v>
      </c>
      <c r="O437" s="2">
        <v>180</v>
      </c>
      <c r="P437" s="2">
        <v>2498.6999999999998</v>
      </c>
      <c r="Q437" s="13">
        <f t="shared" si="18"/>
        <v>0.37460645857695418</v>
      </c>
      <c r="R437" s="14">
        <f t="shared" si="19"/>
        <v>9168.9</v>
      </c>
      <c r="S437" s="15">
        <f t="shared" si="20"/>
        <v>10819.302</v>
      </c>
    </row>
    <row r="438" spans="1:19" x14ac:dyDescent="0.3">
      <c r="A438">
        <v>200010076</v>
      </c>
      <c r="B438">
        <v>273715040</v>
      </c>
      <c r="C438" s="11">
        <v>46230</v>
      </c>
      <c r="D438" s="1">
        <v>874381068594</v>
      </c>
      <c r="E438">
        <v>39173</v>
      </c>
      <c r="F438" t="s">
        <v>29</v>
      </c>
      <c r="G438" s="12">
        <v>7.5</v>
      </c>
      <c r="H438">
        <v>65</v>
      </c>
      <c r="I438">
        <v>28</v>
      </c>
      <c r="J438">
        <v>24</v>
      </c>
      <c r="K438" s="12">
        <v>7.5</v>
      </c>
      <c r="L438" t="s">
        <v>20</v>
      </c>
      <c r="M438" s="2">
        <v>2954.2</v>
      </c>
      <c r="N438" s="2">
        <v>495</v>
      </c>
      <c r="O438" s="2">
        <v>180</v>
      </c>
      <c r="P438" s="2">
        <v>1327.9</v>
      </c>
      <c r="Q438" s="13">
        <f t="shared" si="18"/>
        <v>0.36589330982034612</v>
      </c>
      <c r="R438" s="14">
        <f t="shared" si="19"/>
        <v>4957.1000000000004</v>
      </c>
      <c r="S438" s="15">
        <f t="shared" si="20"/>
        <v>5849.3779999999997</v>
      </c>
    </row>
    <row r="439" spans="1:19" x14ac:dyDescent="0.3">
      <c r="A439">
        <v>200010076</v>
      </c>
      <c r="B439">
        <v>273715040</v>
      </c>
      <c r="C439" s="11">
        <v>46230</v>
      </c>
      <c r="D439" s="1">
        <v>874381077290</v>
      </c>
      <c r="E439">
        <v>40985</v>
      </c>
      <c r="F439" t="s">
        <v>29</v>
      </c>
      <c r="G439" s="12">
        <v>5.5</v>
      </c>
      <c r="H439">
        <v>59</v>
      </c>
      <c r="I439">
        <v>24</v>
      </c>
      <c r="J439">
        <v>22</v>
      </c>
      <c r="K439" s="12">
        <v>5.5</v>
      </c>
      <c r="L439" t="s">
        <v>20</v>
      </c>
      <c r="M439" s="2">
        <v>2494</v>
      </c>
      <c r="N439" s="2">
        <v>363</v>
      </c>
      <c r="O439" s="2">
        <v>180</v>
      </c>
      <c r="P439" s="2">
        <v>1100</v>
      </c>
      <c r="Q439" s="13">
        <f t="shared" si="18"/>
        <v>0.3621995390187685</v>
      </c>
      <c r="R439" s="14">
        <f t="shared" si="19"/>
        <v>4137</v>
      </c>
      <c r="S439" s="15">
        <f t="shared" si="20"/>
        <v>4881.66</v>
      </c>
    </row>
    <row r="440" spans="1:19" x14ac:dyDescent="0.3">
      <c r="A440">
        <v>200010076</v>
      </c>
      <c r="B440">
        <v>273715040</v>
      </c>
      <c r="C440" s="11">
        <v>46230</v>
      </c>
      <c r="D440" s="1">
        <v>874381129578</v>
      </c>
      <c r="E440">
        <v>39834</v>
      </c>
      <c r="F440" t="s">
        <v>29</v>
      </c>
      <c r="G440" s="12">
        <v>12.5</v>
      </c>
      <c r="H440">
        <v>119</v>
      </c>
      <c r="I440">
        <v>26</v>
      </c>
      <c r="J440">
        <v>23</v>
      </c>
      <c r="K440" s="12">
        <v>12.5</v>
      </c>
      <c r="L440" t="s">
        <v>20</v>
      </c>
      <c r="M440" s="2">
        <v>5257.8</v>
      </c>
      <c r="N440" s="2">
        <v>825</v>
      </c>
      <c r="O440" s="2">
        <v>180</v>
      </c>
      <c r="P440" s="2">
        <v>2341.9</v>
      </c>
      <c r="Q440" s="13">
        <f t="shared" si="18"/>
        <v>0.37393817461838158</v>
      </c>
      <c r="R440" s="14">
        <f t="shared" si="19"/>
        <v>8604.7000000000007</v>
      </c>
      <c r="S440" s="15">
        <f t="shared" si="20"/>
        <v>10153.546</v>
      </c>
    </row>
    <row r="441" spans="1:19" x14ac:dyDescent="0.3">
      <c r="A441">
        <v>200010076</v>
      </c>
      <c r="B441">
        <v>273715040</v>
      </c>
      <c r="C441" s="11">
        <v>46230</v>
      </c>
      <c r="D441" s="1">
        <v>874381134007</v>
      </c>
      <c r="E441">
        <v>4101384703</v>
      </c>
      <c r="F441" t="s">
        <v>29</v>
      </c>
      <c r="G441" s="12">
        <v>17</v>
      </c>
      <c r="H441">
        <v>98</v>
      </c>
      <c r="I441">
        <v>32</v>
      </c>
      <c r="J441">
        <v>31</v>
      </c>
      <c r="K441" s="12">
        <v>17</v>
      </c>
      <c r="L441" t="s">
        <v>20</v>
      </c>
      <c r="M441" s="2">
        <v>6794</v>
      </c>
      <c r="N441" s="2">
        <v>1122</v>
      </c>
      <c r="O441" s="2">
        <v>210</v>
      </c>
      <c r="P441" s="2">
        <v>3047.7</v>
      </c>
      <c r="Q441" s="13">
        <f t="shared" si="18"/>
        <v>0.37505537779965542</v>
      </c>
      <c r="R441" s="14">
        <f t="shared" si="19"/>
        <v>11173.7</v>
      </c>
      <c r="S441" s="15">
        <f t="shared" si="20"/>
        <v>13184.966</v>
      </c>
    </row>
    <row r="442" spans="1:19" x14ac:dyDescent="0.3">
      <c r="A442">
        <v>200010076</v>
      </c>
      <c r="B442">
        <v>273715040</v>
      </c>
      <c r="C442" s="11">
        <v>46230</v>
      </c>
      <c r="D442" s="1">
        <v>874381170200</v>
      </c>
      <c r="E442">
        <v>42095</v>
      </c>
      <c r="F442" t="s">
        <v>29</v>
      </c>
      <c r="G442" s="12">
        <v>9</v>
      </c>
      <c r="H442">
        <v>95</v>
      </c>
      <c r="I442">
        <v>24</v>
      </c>
      <c r="J442">
        <v>23</v>
      </c>
      <c r="K442" s="12">
        <v>9</v>
      </c>
      <c r="L442" t="s">
        <v>20</v>
      </c>
      <c r="M442" s="2">
        <v>3299.4</v>
      </c>
      <c r="N442" s="2">
        <v>594</v>
      </c>
      <c r="O442" s="2">
        <v>180</v>
      </c>
      <c r="P442" s="2">
        <v>1499</v>
      </c>
      <c r="Q442" s="13">
        <f t="shared" si="18"/>
        <v>0.36799725045416604</v>
      </c>
      <c r="R442" s="14">
        <f t="shared" si="19"/>
        <v>5572.4</v>
      </c>
      <c r="S442" s="15">
        <f t="shared" si="20"/>
        <v>6575.4319999999989</v>
      </c>
    </row>
    <row r="443" spans="1:19" x14ac:dyDescent="0.3">
      <c r="A443">
        <v>200010076</v>
      </c>
      <c r="B443">
        <v>273715040</v>
      </c>
      <c r="C443" s="11">
        <v>46230</v>
      </c>
      <c r="D443" s="1">
        <v>874381176551</v>
      </c>
      <c r="E443">
        <v>41213</v>
      </c>
      <c r="F443" t="s">
        <v>29</v>
      </c>
      <c r="G443" s="12">
        <v>5</v>
      </c>
      <c r="H443">
        <v>60</v>
      </c>
      <c r="I443">
        <v>23</v>
      </c>
      <c r="J443">
        <v>20</v>
      </c>
      <c r="K443" s="12">
        <v>5</v>
      </c>
      <c r="L443" t="s">
        <v>20</v>
      </c>
      <c r="M443" s="2">
        <v>2231.6999999999998</v>
      </c>
      <c r="N443" s="2">
        <v>330</v>
      </c>
      <c r="O443" s="2">
        <v>180</v>
      </c>
      <c r="P443" s="2">
        <v>986.3</v>
      </c>
      <c r="Q443" s="13">
        <f t="shared" si="18"/>
        <v>0.35974030710872817</v>
      </c>
      <c r="R443" s="14">
        <f t="shared" si="19"/>
        <v>3728</v>
      </c>
      <c r="S443" s="15">
        <f t="shared" si="20"/>
        <v>4399.04</v>
      </c>
    </row>
    <row r="444" spans="1:19" x14ac:dyDescent="0.3">
      <c r="A444">
        <v>200010076</v>
      </c>
      <c r="B444">
        <v>273715040</v>
      </c>
      <c r="C444" s="11">
        <v>46230</v>
      </c>
      <c r="D444" s="1">
        <v>874381189448</v>
      </c>
      <c r="E444">
        <v>41897</v>
      </c>
      <c r="F444" t="s">
        <v>29</v>
      </c>
      <c r="G444" s="12">
        <v>6</v>
      </c>
      <c r="H444">
        <v>54</v>
      </c>
      <c r="I444">
        <v>25</v>
      </c>
      <c r="J444">
        <v>24</v>
      </c>
      <c r="K444" s="12">
        <v>6</v>
      </c>
      <c r="L444" t="s">
        <v>20</v>
      </c>
      <c r="M444" s="2">
        <v>2609.1</v>
      </c>
      <c r="N444" s="2">
        <v>396</v>
      </c>
      <c r="O444" s="2">
        <v>180</v>
      </c>
      <c r="P444" s="2">
        <v>1157</v>
      </c>
      <c r="Q444" s="13">
        <f t="shared" si="18"/>
        <v>0.36325390097642146</v>
      </c>
      <c r="R444" s="14">
        <f t="shared" si="19"/>
        <v>4342.1000000000004</v>
      </c>
      <c r="S444" s="15">
        <f t="shared" si="20"/>
        <v>5123.6779999999999</v>
      </c>
    </row>
    <row r="445" spans="1:19" x14ac:dyDescent="0.3">
      <c r="A445">
        <v>200010076</v>
      </c>
      <c r="B445">
        <v>273715040</v>
      </c>
      <c r="C445" s="11">
        <v>46230</v>
      </c>
      <c r="D445" s="1">
        <v>874381207267</v>
      </c>
      <c r="E445">
        <v>42485</v>
      </c>
      <c r="F445" t="s">
        <v>29</v>
      </c>
      <c r="G445" s="12">
        <v>5.5</v>
      </c>
      <c r="H445">
        <v>46</v>
      </c>
      <c r="I445">
        <v>27</v>
      </c>
      <c r="J445">
        <v>25</v>
      </c>
      <c r="K445" s="12">
        <v>5.5</v>
      </c>
      <c r="L445" t="s">
        <v>20</v>
      </c>
      <c r="M445" s="2">
        <v>2494</v>
      </c>
      <c r="N445" s="2">
        <v>363</v>
      </c>
      <c r="O445" s="2">
        <v>180</v>
      </c>
      <c r="P445" s="2">
        <v>1100</v>
      </c>
      <c r="Q445" s="13">
        <f t="shared" si="18"/>
        <v>0.3621995390187685</v>
      </c>
      <c r="R445" s="14">
        <f t="shared" si="19"/>
        <v>4137</v>
      </c>
      <c r="S445" s="15">
        <f t="shared" si="20"/>
        <v>4881.66</v>
      </c>
    </row>
    <row r="446" spans="1:19" x14ac:dyDescent="0.3">
      <c r="A446">
        <v>200010076</v>
      </c>
      <c r="B446">
        <v>273715040</v>
      </c>
      <c r="C446" s="11">
        <v>46230</v>
      </c>
      <c r="D446" s="1">
        <v>874381220460</v>
      </c>
      <c r="E446">
        <v>41272</v>
      </c>
      <c r="F446" t="s">
        <v>29</v>
      </c>
      <c r="G446" s="12">
        <v>6.5</v>
      </c>
      <c r="H446">
        <v>63</v>
      </c>
      <c r="I446">
        <v>25</v>
      </c>
      <c r="J446">
        <v>24</v>
      </c>
      <c r="K446" s="12">
        <v>6.5</v>
      </c>
      <c r="L446" t="s">
        <v>20</v>
      </c>
      <c r="M446" s="2">
        <v>2724.1</v>
      </c>
      <c r="N446" s="2">
        <v>429</v>
      </c>
      <c r="O446" s="2">
        <v>180</v>
      </c>
      <c r="P446" s="2">
        <v>1213.9000000000001</v>
      </c>
      <c r="Q446" s="13">
        <f t="shared" si="18"/>
        <v>0.36419549368455795</v>
      </c>
      <c r="R446" s="14">
        <f t="shared" si="19"/>
        <v>4547</v>
      </c>
      <c r="S446" s="15">
        <f t="shared" si="20"/>
        <v>5365.46</v>
      </c>
    </row>
    <row r="447" spans="1:19" x14ac:dyDescent="0.3">
      <c r="A447">
        <v>200010076</v>
      </c>
      <c r="B447">
        <v>273715040</v>
      </c>
      <c r="C447" s="11">
        <v>46230</v>
      </c>
      <c r="D447" s="1">
        <v>874381224991</v>
      </c>
      <c r="E447">
        <v>42270</v>
      </c>
      <c r="F447" t="s">
        <v>29</v>
      </c>
      <c r="G447" s="12">
        <v>5</v>
      </c>
      <c r="H447">
        <v>59</v>
      </c>
      <c r="I447">
        <v>23</v>
      </c>
      <c r="J447">
        <v>20</v>
      </c>
      <c r="K447" s="12">
        <v>5</v>
      </c>
      <c r="L447" t="s">
        <v>20</v>
      </c>
      <c r="M447" s="2">
        <v>2231.6999999999998</v>
      </c>
      <c r="N447" s="2">
        <v>330</v>
      </c>
      <c r="O447" s="2">
        <v>180</v>
      </c>
      <c r="P447" s="2">
        <v>986.3</v>
      </c>
      <c r="Q447" s="13">
        <f t="shared" si="18"/>
        <v>0.35974030710872817</v>
      </c>
      <c r="R447" s="14">
        <f t="shared" si="19"/>
        <v>3728</v>
      </c>
      <c r="S447" s="15">
        <f t="shared" si="20"/>
        <v>4399.04</v>
      </c>
    </row>
    <row r="448" spans="1:19" x14ac:dyDescent="0.3">
      <c r="A448">
        <v>200010076</v>
      </c>
      <c r="B448">
        <v>273715040</v>
      </c>
      <c r="C448" s="11">
        <v>46230</v>
      </c>
      <c r="D448" s="1">
        <v>874381230335</v>
      </c>
      <c r="E448">
        <v>42285</v>
      </c>
      <c r="F448" t="s">
        <v>29</v>
      </c>
      <c r="G448" s="12">
        <v>5.5</v>
      </c>
      <c r="H448">
        <v>57</v>
      </c>
      <c r="I448">
        <v>24</v>
      </c>
      <c r="J448">
        <v>22</v>
      </c>
      <c r="K448" s="12">
        <v>5.5</v>
      </c>
      <c r="L448" t="s">
        <v>20</v>
      </c>
      <c r="M448" s="2">
        <v>2494</v>
      </c>
      <c r="N448" s="2">
        <v>363</v>
      </c>
      <c r="O448" s="2">
        <v>180</v>
      </c>
      <c r="P448" s="2">
        <v>1100</v>
      </c>
      <c r="Q448" s="13">
        <f t="shared" si="18"/>
        <v>0.3621995390187685</v>
      </c>
      <c r="R448" s="14">
        <f t="shared" si="19"/>
        <v>4137</v>
      </c>
      <c r="S448" s="15">
        <f t="shared" si="20"/>
        <v>4881.66</v>
      </c>
    </row>
    <row r="449" spans="1:19" x14ac:dyDescent="0.3">
      <c r="A449">
        <v>200010076</v>
      </c>
      <c r="B449">
        <v>273715040</v>
      </c>
      <c r="C449" s="11">
        <v>46230</v>
      </c>
      <c r="D449" s="1">
        <v>874381234043</v>
      </c>
      <c r="E449">
        <v>41667</v>
      </c>
      <c r="F449" t="s">
        <v>29</v>
      </c>
      <c r="G449" s="12">
        <v>8</v>
      </c>
      <c r="H449">
        <v>50</v>
      </c>
      <c r="I449">
        <v>31</v>
      </c>
      <c r="J449">
        <v>30</v>
      </c>
      <c r="K449" s="12">
        <v>8</v>
      </c>
      <c r="L449" t="s">
        <v>20</v>
      </c>
      <c r="M449" s="2">
        <v>3069.3</v>
      </c>
      <c r="N449" s="2">
        <v>528</v>
      </c>
      <c r="O449" s="2">
        <v>180</v>
      </c>
      <c r="P449" s="2">
        <v>1385</v>
      </c>
      <c r="Q449" s="13">
        <f t="shared" si="18"/>
        <v>0.36666401927302567</v>
      </c>
      <c r="R449" s="14">
        <f t="shared" si="19"/>
        <v>5162.3</v>
      </c>
      <c r="S449" s="15">
        <f t="shared" si="20"/>
        <v>6091.5140000000001</v>
      </c>
    </row>
    <row r="450" spans="1:19" x14ac:dyDescent="0.3">
      <c r="A450">
        <v>200010076</v>
      </c>
      <c r="B450">
        <v>273715040</v>
      </c>
      <c r="C450" s="11">
        <v>46230</v>
      </c>
      <c r="D450" s="1">
        <v>874381271703</v>
      </c>
      <c r="E450">
        <v>41890</v>
      </c>
      <c r="F450" t="s">
        <v>29</v>
      </c>
      <c r="G450" s="12">
        <v>8.5</v>
      </c>
      <c r="H450">
        <v>60</v>
      </c>
      <c r="I450">
        <v>29</v>
      </c>
      <c r="J450">
        <v>27</v>
      </c>
      <c r="K450" s="12">
        <v>8.5</v>
      </c>
      <c r="L450" t="s">
        <v>20</v>
      </c>
      <c r="M450" s="2">
        <v>3184.4</v>
      </c>
      <c r="N450" s="2">
        <v>561</v>
      </c>
      <c r="O450" s="2">
        <v>180</v>
      </c>
      <c r="P450" s="2">
        <v>1442</v>
      </c>
      <c r="Q450" s="13">
        <f t="shared" si="18"/>
        <v>0.36735109797727622</v>
      </c>
      <c r="R450" s="14">
        <f t="shared" si="19"/>
        <v>5367.4</v>
      </c>
      <c r="S450" s="15">
        <f t="shared" si="20"/>
        <v>6333.5319999999992</v>
      </c>
    </row>
    <row r="451" spans="1:19" x14ac:dyDescent="0.3">
      <c r="A451">
        <v>200010076</v>
      </c>
      <c r="B451">
        <v>273715040</v>
      </c>
      <c r="C451" s="11">
        <v>46230</v>
      </c>
      <c r="D451" s="1">
        <v>874381280888</v>
      </c>
      <c r="E451">
        <v>40745</v>
      </c>
      <c r="F451" t="s">
        <v>29</v>
      </c>
      <c r="G451" s="12">
        <v>8</v>
      </c>
      <c r="H451">
        <v>48</v>
      </c>
      <c r="I451">
        <v>32</v>
      </c>
      <c r="J451">
        <v>29</v>
      </c>
      <c r="K451" s="12">
        <v>8</v>
      </c>
      <c r="L451" t="s">
        <v>20</v>
      </c>
      <c r="M451" s="2">
        <v>3069.3</v>
      </c>
      <c r="N451" s="2">
        <v>528</v>
      </c>
      <c r="O451" s="2">
        <v>180</v>
      </c>
      <c r="P451" s="2">
        <v>1385</v>
      </c>
      <c r="Q451" s="13">
        <f t="shared" si="18"/>
        <v>0.36666401927302567</v>
      </c>
      <c r="R451" s="14">
        <f t="shared" si="19"/>
        <v>5162.3</v>
      </c>
      <c r="S451" s="15">
        <f t="shared" si="20"/>
        <v>6091.5140000000001</v>
      </c>
    </row>
    <row r="452" spans="1:19" x14ac:dyDescent="0.3">
      <c r="A452">
        <v>200010076</v>
      </c>
      <c r="B452">
        <v>273715040</v>
      </c>
      <c r="C452" s="11">
        <v>46230</v>
      </c>
      <c r="D452" s="1">
        <v>874381286886</v>
      </c>
      <c r="E452">
        <v>41905</v>
      </c>
      <c r="F452" t="s">
        <v>29</v>
      </c>
      <c r="G452" s="12">
        <v>7.5</v>
      </c>
      <c r="H452">
        <v>67</v>
      </c>
      <c r="I452">
        <v>25</v>
      </c>
      <c r="J452">
        <v>25</v>
      </c>
      <c r="K452" s="12">
        <v>7.5</v>
      </c>
      <c r="L452" t="s">
        <v>20</v>
      </c>
      <c r="M452" s="2">
        <v>2954.2</v>
      </c>
      <c r="N452" s="2">
        <v>495</v>
      </c>
      <c r="O452" s="2">
        <v>180</v>
      </c>
      <c r="P452" s="2">
        <v>1327.9</v>
      </c>
      <c r="Q452" s="13">
        <f t="shared" si="18"/>
        <v>0.36589330982034612</v>
      </c>
      <c r="R452" s="14">
        <f t="shared" si="19"/>
        <v>4957.1000000000004</v>
      </c>
      <c r="S452" s="15">
        <f t="shared" si="20"/>
        <v>5849.3779999999997</v>
      </c>
    </row>
    <row r="453" spans="1:19" x14ac:dyDescent="0.3">
      <c r="A453">
        <v>200010076</v>
      </c>
      <c r="B453">
        <v>273715040</v>
      </c>
      <c r="C453" s="11">
        <v>46230</v>
      </c>
      <c r="D453" s="1">
        <v>874381294369</v>
      </c>
      <c r="E453">
        <v>40652</v>
      </c>
      <c r="F453" t="s">
        <v>29</v>
      </c>
      <c r="G453" s="12">
        <v>7</v>
      </c>
      <c r="H453">
        <v>62</v>
      </c>
      <c r="I453">
        <v>28</v>
      </c>
      <c r="J453">
        <v>23</v>
      </c>
      <c r="K453" s="12">
        <v>7</v>
      </c>
      <c r="L453" t="s">
        <v>20</v>
      </c>
      <c r="M453" s="2">
        <v>2839.2</v>
      </c>
      <c r="N453" s="2">
        <v>462</v>
      </c>
      <c r="O453" s="2">
        <v>180</v>
      </c>
      <c r="P453" s="2">
        <v>1271</v>
      </c>
      <c r="Q453" s="13">
        <f t="shared" si="18"/>
        <v>0.36510398713087444</v>
      </c>
      <c r="R453" s="14">
        <f t="shared" si="19"/>
        <v>4752.2</v>
      </c>
      <c r="S453" s="15">
        <f t="shared" si="20"/>
        <v>5607.5959999999995</v>
      </c>
    </row>
    <row r="454" spans="1:19" x14ac:dyDescent="0.3">
      <c r="A454">
        <v>200010076</v>
      </c>
      <c r="B454">
        <v>273715040</v>
      </c>
      <c r="C454" s="11">
        <v>46230</v>
      </c>
      <c r="D454" s="1">
        <v>874381298467</v>
      </c>
      <c r="E454">
        <v>41116</v>
      </c>
      <c r="F454" t="s">
        <v>29</v>
      </c>
      <c r="G454" s="12">
        <v>9</v>
      </c>
      <c r="H454">
        <v>68</v>
      </c>
      <c r="I454">
        <v>28</v>
      </c>
      <c r="J454">
        <v>27</v>
      </c>
      <c r="K454" s="12">
        <v>9</v>
      </c>
      <c r="L454" t="s">
        <v>20</v>
      </c>
      <c r="M454" s="2">
        <v>3299.4</v>
      </c>
      <c r="N454" s="2">
        <v>594</v>
      </c>
      <c r="O454" s="2">
        <v>180</v>
      </c>
      <c r="P454" s="2">
        <v>1499</v>
      </c>
      <c r="Q454" s="13">
        <f t="shared" si="18"/>
        <v>0.36799725045416604</v>
      </c>
      <c r="R454" s="14">
        <f t="shared" si="19"/>
        <v>5572.4</v>
      </c>
      <c r="S454" s="15">
        <f t="shared" si="20"/>
        <v>6575.4319999999989</v>
      </c>
    </row>
    <row r="455" spans="1:19" x14ac:dyDescent="0.3">
      <c r="A455">
        <v>200010076</v>
      </c>
      <c r="B455">
        <v>273715040</v>
      </c>
      <c r="C455" s="11">
        <v>46230</v>
      </c>
      <c r="D455" s="1">
        <v>874381305006</v>
      </c>
      <c r="E455">
        <v>41982</v>
      </c>
      <c r="F455" t="s">
        <v>29</v>
      </c>
      <c r="G455" s="12">
        <v>8</v>
      </c>
      <c r="H455">
        <v>54</v>
      </c>
      <c r="I455">
        <v>29</v>
      </c>
      <c r="J455">
        <v>29</v>
      </c>
      <c r="K455" s="12">
        <v>8</v>
      </c>
      <c r="L455" t="s">
        <v>20</v>
      </c>
      <c r="M455" s="2">
        <v>3069.3</v>
      </c>
      <c r="N455" s="2">
        <v>528</v>
      </c>
      <c r="O455" s="2">
        <v>180</v>
      </c>
      <c r="P455" s="2">
        <v>1385</v>
      </c>
      <c r="Q455" s="13">
        <f t="shared" si="18"/>
        <v>0.36666401927302567</v>
      </c>
      <c r="R455" s="14">
        <f t="shared" si="19"/>
        <v>5162.3</v>
      </c>
      <c r="S455" s="15">
        <f t="shared" si="20"/>
        <v>6091.5140000000001</v>
      </c>
    </row>
    <row r="456" spans="1:19" x14ac:dyDescent="0.3">
      <c r="A456">
        <v>200010076</v>
      </c>
      <c r="B456">
        <v>273715040</v>
      </c>
      <c r="C456" s="11">
        <v>46230</v>
      </c>
      <c r="D456" s="1">
        <v>874381311799</v>
      </c>
      <c r="E456">
        <v>41750</v>
      </c>
      <c r="F456" t="s">
        <v>29</v>
      </c>
      <c r="G456" s="12">
        <v>23</v>
      </c>
      <c r="H456">
        <v>66</v>
      </c>
      <c r="I456">
        <v>47</v>
      </c>
      <c r="J456">
        <v>43</v>
      </c>
      <c r="K456" s="12">
        <v>23</v>
      </c>
      <c r="L456" t="s">
        <v>20</v>
      </c>
      <c r="M456" s="2">
        <v>9138.7000000000007</v>
      </c>
      <c r="N456" s="2">
        <v>1518</v>
      </c>
      <c r="O456" s="2">
        <v>180</v>
      </c>
      <c r="P456" s="2">
        <v>4102.8</v>
      </c>
      <c r="Q456" s="13">
        <f t="shared" si="18"/>
        <v>0.37860234204139637</v>
      </c>
      <c r="R456" s="14">
        <f t="shared" si="19"/>
        <v>14939.5</v>
      </c>
      <c r="S456" s="15">
        <f t="shared" si="20"/>
        <v>17628.61</v>
      </c>
    </row>
    <row r="457" spans="1:19" x14ac:dyDescent="0.3">
      <c r="A457">
        <v>200010076</v>
      </c>
      <c r="B457">
        <v>273715040</v>
      </c>
      <c r="C457" s="11">
        <v>46230</v>
      </c>
      <c r="D457" s="1">
        <v>874381320131</v>
      </c>
      <c r="E457">
        <v>39875</v>
      </c>
      <c r="F457" t="s">
        <v>29</v>
      </c>
      <c r="G457" s="12">
        <v>11.5</v>
      </c>
      <c r="H457">
        <v>52</v>
      </c>
      <c r="I457">
        <v>36</v>
      </c>
      <c r="J457">
        <v>35</v>
      </c>
      <c r="K457" s="12">
        <v>11.5</v>
      </c>
      <c r="L457" t="s">
        <v>20</v>
      </c>
      <c r="M457" s="2">
        <v>4916.5</v>
      </c>
      <c r="N457" s="2">
        <v>759</v>
      </c>
      <c r="O457" s="2">
        <v>180</v>
      </c>
      <c r="P457" s="2">
        <v>2185.1</v>
      </c>
      <c r="Q457" s="13">
        <f t="shared" ref="Q457:Q520" si="21">+P457/SUM(M457:O457)</f>
        <v>0.3731705234395013</v>
      </c>
      <c r="R457" s="14">
        <f t="shared" ref="R457:R520" si="22">SUM(M457:P457)</f>
        <v>8040.6</v>
      </c>
      <c r="S457" s="15">
        <f t="shared" ref="S457:S520" si="23">+R457*1.18</f>
        <v>9487.9079999999994</v>
      </c>
    </row>
    <row r="458" spans="1:19" x14ac:dyDescent="0.3">
      <c r="A458">
        <v>200010076</v>
      </c>
      <c r="B458">
        <v>273715040</v>
      </c>
      <c r="C458" s="11">
        <v>46230</v>
      </c>
      <c r="D458" s="1">
        <v>874381327607</v>
      </c>
      <c r="E458">
        <v>39956</v>
      </c>
      <c r="F458" t="s">
        <v>29</v>
      </c>
      <c r="G458" s="12">
        <v>8</v>
      </c>
      <c r="H458">
        <v>55</v>
      </c>
      <c r="I458">
        <v>29</v>
      </c>
      <c r="J458">
        <v>28</v>
      </c>
      <c r="K458" s="12">
        <v>8</v>
      </c>
      <c r="L458" t="s">
        <v>20</v>
      </c>
      <c r="M458" s="2">
        <v>3069.3</v>
      </c>
      <c r="N458" s="2">
        <v>528</v>
      </c>
      <c r="O458" s="2">
        <v>180</v>
      </c>
      <c r="P458" s="2">
        <v>1385</v>
      </c>
      <c r="Q458" s="13">
        <f t="shared" si="21"/>
        <v>0.36666401927302567</v>
      </c>
      <c r="R458" s="14">
        <f t="shared" si="22"/>
        <v>5162.3</v>
      </c>
      <c r="S458" s="15">
        <f t="shared" si="23"/>
        <v>6091.5140000000001</v>
      </c>
    </row>
    <row r="459" spans="1:19" x14ac:dyDescent="0.3">
      <c r="A459">
        <v>200010076</v>
      </c>
      <c r="B459">
        <v>273715040</v>
      </c>
      <c r="C459" s="11">
        <v>46230</v>
      </c>
      <c r="D459" s="1">
        <v>874381332374</v>
      </c>
      <c r="E459">
        <v>41811</v>
      </c>
      <c r="F459" t="s">
        <v>29</v>
      </c>
      <c r="G459" s="12">
        <v>7.5</v>
      </c>
      <c r="H459">
        <v>57</v>
      </c>
      <c r="I459">
        <v>28</v>
      </c>
      <c r="J459">
        <v>27</v>
      </c>
      <c r="K459" s="12">
        <v>7.5</v>
      </c>
      <c r="L459" t="s">
        <v>20</v>
      </c>
      <c r="M459" s="2">
        <v>2954.2</v>
      </c>
      <c r="N459" s="2">
        <v>495</v>
      </c>
      <c r="O459" s="2">
        <v>180</v>
      </c>
      <c r="P459" s="2">
        <v>1327.9</v>
      </c>
      <c r="Q459" s="13">
        <f t="shared" si="21"/>
        <v>0.36589330982034612</v>
      </c>
      <c r="R459" s="14">
        <f t="shared" si="22"/>
        <v>4957.1000000000004</v>
      </c>
      <c r="S459" s="15">
        <f t="shared" si="23"/>
        <v>5849.3779999999997</v>
      </c>
    </row>
    <row r="460" spans="1:19" x14ac:dyDescent="0.3">
      <c r="A460">
        <v>200010076</v>
      </c>
      <c r="B460">
        <v>273715040</v>
      </c>
      <c r="C460" s="11">
        <v>46230</v>
      </c>
      <c r="D460" s="1">
        <v>874381338659</v>
      </c>
      <c r="E460">
        <v>41904</v>
      </c>
      <c r="F460" t="s">
        <v>29</v>
      </c>
      <c r="G460" s="12">
        <v>7</v>
      </c>
      <c r="H460">
        <v>58</v>
      </c>
      <c r="I460">
        <v>27</v>
      </c>
      <c r="J460">
        <v>26</v>
      </c>
      <c r="K460" s="12">
        <v>7</v>
      </c>
      <c r="L460" t="s">
        <v>20</v>
      </c>
      <c r="M460" s="2">
        <v>2839.2</v>
      </c>
      <c r="N460" s="2">
        <v>462</v>
      </c>
      <c r="O460" s="2">
        <v>180</v>
      </c>
      <c r="P460" s="2">
        <v>1271</v>
      </c>
      <c r="Q460" s="13">
        <f t="shared" si="21"/>
        <v>0.36510398713087444</v>
      </c>
      <c r="R460" s="14">
        <f t="shared" si="22"/>
        <v>4752.2</v>
      </c>
      <c r="S460" s="15">
        <f t="shared" si="23"/>
        <v>5607.5959999999995</v>
      </c>
    </row>
    <row r="461" spans="1:19" x14ac:dyDescent="0.3">
      <c r="A461">
        <v>200010076</v>
      </c>
      <c r="B461">
        <v>273715040</v>
      </c>
      <c r="C461" s="11">
        <v>46230</v>
      </c>
      <c r="D461" s="1">
        <v>874381343187</v>
      </c>
      <c r="E461">
        <v>41143</v>
      </c>
      <c r="F461" t="s">
        <v>29</v>
      </c>
      <c r="G461" s="12">
        <v>8.5</v>
      </c>
      <c r="H461">
        <v>62</v>
      </c>
      <c r="I461">
        <v>29</v>
      </c>
      <c r="J461">
        <v>28</v>
      </c>
      <c r="K461" s="12">
        <v>8.5</v>
      </c>
      <c r="L461" t="s">
        <v>20</v>
      </c>
      <c r="M461" s="2">
        <v>3184.4</v>
      </c>
      <c r="N461" s="2">
        <v>561</v>
      </c>
      <c r="O461" s="2">
        <v>180</v>
      </c>
      <c r="P461" s="2">
        <v>1442</v>
      </c>
      <c r="Q461" s="13">
        <f t="shared" si="21"/>
        <v>0.36735109797727622</v>
      </c>
      <c r="R461" s="14">
        <f t="shared" si="22"/>
        <v>5367.4</v>
      </c>
      <c r="S461" s="15">
        <f t="shared" si="23"/>
        <v>6333.5319999999992</v>
      </c>
    </row>
    <row r="462" spans="1:19" x14ac:dyDescent="0.3">
      <c r="A462">
        <v>200010076</v>
      </c>
      <c r="B462">
        <v>273715040</v>
      </c>
      <c r="C462" s="11">
        <v>46230</v>
      </c>
      <c r="D462" s="1">
        <v>874381351005</v>
      </c>
      <c r="E462">
        <v>42073</v>
      </c>
      <c r="F462" t="s">
        <v>29</v>
      </c>
      <c r="G462" s="12">
        <v>9.5299999999999994</v>
      </c>
      <c r="H462">
        <v>73</v>
      </c>
      <c r="I462">
        <v>30</v>
      </c>
      <c r="J462">
        <v>28</v>
      </c>
      <c r="K462" s="12">
        <v>10.199999999999999</v>
      </c>
      <c r="L462" t="s">
        <v>20</v>
      </c>
      <c r="M462" s="2">
        <v>4575.1000000000004</v>
      </c>
      <c r="N462" s="2">
        <v>693</v>
      </c>
      <c r="O462" s="2">
        <v>180</v>
      </c>
      <c r="P462" s="2">
        <v>2028.2</v>
      </c>
      <c r="Q462" s="13">
        <f t="shared" si="21"/>
        <v>0.37227657348433396</v>
      </c>
      <c r="R462" s="14">
        <f t="shared" si="22"/>
        <v>7476.3</v>
      </c>
      <c r="S462" s="15">
        <f t="shared" si="23"/>
        <v>8822.0339999999997</v>
      </c>
    </row>
    <row r="463" spans="1:19" x14ac:dyDescent="0.3">
      <c r="A463">
        <v>200010076</v>
      </c>
      <c r="B463">
        <v>273715040</v>
      </c>
      <c r="C463" s="11">
        <v>46230</v>
      </c>
      <c r="D463" s="1">
        <v>874381360076</v>
      </c>
      <c r="E463">
        <v>42354</v>
      </c>
      <c r="F463" t="s">
        <v>29</v>
      </c>
      <c r="G463" s="12">
        <v>11.5</v>
      </c>
      <c r="H463">
        <v>83</v>
      </c>
      <c r="I463">
        <v>29</v>
      </c>
      <c r="J463">
        <v>28</v>
      </c>
      <c r="K463" s="12">
        <v>11.5</v>
      </c>
      <c r="L463" t="s">
        <v>20</v>
      </c>
      <c r="M463" s="2">
        <v>4916.5</v>
      </c>
      <c r="N463" s="2">
        <v>759</v>
      </c>
      <c r="O463" s="2">
        <v>180</v>
      </c>
      <c r="P463" s="2">
        <v>2185.1</v>
      </c>
      <c r="Q463" s="13">
        <f t="shared" si="21"/>
        <v>0.3731705234395013</v>
      </c>
      <c r="R463" s="14">
        <f t="shared" si="22"/>
        <v>8040.6</v>
      </c>
      <c r="S463" s="15">
        <f t="shared" si="23"/>
        <v>9487.9079999999994</v>
      </c>
    </row>
    <row r="464" spans="1:19" x14ac:dyDescent="0.3">
      <c r="A464">
        <v>200010076</v>
      </c>
      <c r="B464">
        <v>273715040</v>
      </c>
      <c r="C464" s="11">
        <v>46230</v>
      </c>
      <c r="D464" s="1">
        <v>874381364656</v>
      </c>
      <c r="E464">
        <v>41398</v>
      </c>
      <c r="F464" t="s">
        <v>29</v>
      </c>
      <c r="G464" s="12">
        <v>11.5</v>
      </c>
      <c r="H464">
        <v>102</v>
      </c>
      <c r="I464">
        <v>26</v>
      </c>
      <c r="J464">
        <v>25</v>
      </c>
      <c r="K464" s="12">
        <v>11.5</v>
      </c>
      <c r="L464" t="s">
        <v>20</v>
      </c>
      <c r="M464" s="2">
        <v>4916.5</v>
      </c>
      <c r="N464" s="2">
        <v>759</v>
      </c>
      <c r="O464" s="2">
        <v>180</v>
      </c>
      <c r="P464" s="2">
        <v>2185.1</v>
      </c>
      <c r="Q464" s="13">
        <f t="shared" si="21"/>
        <v>0.3731705234395013</v>
      </c>
      <c r="R464" s="14">
        <f t="shared" si="22"/>
        <v>8040.6</v>
      </c>
      <c r="S464" s="15">
        <f t="shared" si="23"/>
        <v>9487.9079999999994</v>
      </c>
    </row>
    <row r="465" spans="1:19" x14ac:dyDescent="0.3">
      <c r="A465">
        <v>200010076</v>
      </c>
      <c r="B465">
        <v>273715040</v>
      </c>
      <c r="C465" s="11">
        <v>46230</v>
      </c>
      <c r="D465" s="1">
        <v>874381375540</v>
      </c>
      <c r="E465">
        <v>40616</v>
      </c>
      <c r="F465" t="s">
        <v>29</v>
      </c>
      <c r="G465" s="12">
        <v>12.5</v>
      </c>
      <c r="H465">
        <v>89</v>
      </c>
      <c r="I465">
        <v>33</v>
      </c>
      <c r="J465">
        <v>30</v>
      </c>
      <c r="K465" s="12">
        <v>14.9</v>
      </c>
      <c r="L465" t="s">
        <v>20</v>
      </c>
      <c r="M465" s="2">
        <v>6111.3</v>
      </c>
      <c r="N465" s="2">
        <v>990</v>
      </c>
      <c r="O465" s="2">
        <v>180</v>
      </c>
      <c r="P465" s="2">
        <v>2734</v>
      </c>
      <c r="Q465" s="13">
        <f t="shared" si="21"/>
        <v>0.37548240012085754</v>
      </c>
      <c r="R465" s="14">
        <f t="shared" si="22"/>
        <v>10015.299999999999</v>
      </c>
      <c r="S465" s="15">
        <f t="shared" si="23"/>
        <v>11818.053999999998</v>
      </c>
    </row>
    <row r="466" spans="1:19" x14ac:dyDescent="0.3">
      <c r="A466">
        <v>200010076</v>
      </c>
      <c r="B466">
        <v>273715040</v>
      </c>
      <c r="C466" s="11">
        <v>46230</v>
      </c>
      <c r="D466" s="1">
        <v>874381382666</v>
      </c>
      <c r="E466">
        <v>38596</v>
      </c>
      <c r="F466" t="s">
        <v>29</v>
      </c>
      <c r="G466" s="12">
        <v>7</v>
      </c>
      <c r="H466">
        <v>59</v>
      </c>
      <c r="I466">
        <v>26</v>
      </c>
      <c r="J466">
        <v>25</v>
      </c>
      <c r="K466" s="12">
        <v>7</v>
      </c>
      <c r="L466" t="s">
        <v>20</v>
      </c>
      <c r="M466" s="2">
        <v>2839.2</v>
      </c>
      <c r="N466" s="2">
        <v>462</v>
      </c>
      <c r="O466" s="2">
        <v>180</v>
      </c>
      <c r="P466" s="2">
        <v>1271</v>
      </c>
      <c r="Q466" s="13">
        <f t="shared" si="21"/>
        <v>0.36510398713087444</v>
      </c>
      <c r="R466" s="14">
        <f t="shared" si="22"/>
        <v>4752.2</v>
      </c>
      <c r="S466" s="15">
        <f t="shared" si="23"/>
        <v>5607.5959999999995</v>
      </c>
    </row>
    <row r="467" spans="1:19" x14ac:dyDescent="0.3">
      <c r="A467">
        <v>200010076</v>
      </c>
      <c r="B467">
        <v>273715040</v>
      </c>
      <c r="C467" s="11">
        <v>46230</v>
      </c>
      <c r="D467" s="1">
        <v>874381387820</v>
      </c>
      <c r="E467">
        <v>42248</v>
      </c>
      <c r="F467" t="s">
        <v>29</v>
      </c>
      <c r="G467" s="12">
        <v>10</v>
      </c>
      <c r="H467">
        <v>56</v>
      </c>
      <c r="I467">
        <v>32</v>
      </c>
      <c r="J467">
        <v>32</v>
      </c>
      <c r="K467" s="12">
        <v>10</v>
      </c>
      <c r="L467" t="s">
        <v>20</v>
      </c>
      <c r="M467" s="2">
        <v>3529.5</v>
      </c>
      <c r="N467" s="2">
        <v>660</v>
      </c>
      <c r="O467" s="2">
        <v>180</v>
      </c>
      <c r="P467" s="2">
        <v>1613</v>
      </c>
      <c r="Q467" s="13">
        <f t="shared" si="21"/>
        <v>0.3691497883052981</v>
      </c>
      <c r="R467" s="14">
        <f t="shared" si="22"/>
        <v>5982.5</v>
      </c>
      <c r="S467" s="15">
        <f t="shared" si="23"/>
        <v>7059.3499999999995</v>
      </c>
    </row>
    <row r="468" spans="1:19" x14ac:dyDescent="0.3">
      <c r="A468">
        <v>200010076</v>
      </c>
      <c r="B468">
        <v>273715040</v>
      </c>
      <c r="C468" s="11">
        <v>46230</v>
      </c>
      <c r="D468" s="1">
        <v>874386039773</v>
      </c>
      <c r="E468">
        <v>41902</v>
      </c>
      <c r="F468" t="s">
        <v>29</v>
      </c>
      <c r="G468" s="12">
        <v>24</v>
      </c>
      <c r="H468">
        <v>61</v>
      </c>
      <c r="I468">
        <v>37</v>
      </c>
      <c r="J468">
        <v>37</v>
      </c>
      <c r="K468" s="12">
        <v>24</v>
      </c>
      <c r="L468" t="s">
        <v>20</v>
      </c>
      <c r="M468" s="2">
        <v>9520.4</v>
      </c>
      <c r="N468" s="2">
        <v>1584</v>
      </c>
      <c r="P468" s="2">
        <v>4275.2</v>
      </c>
      <c r="Q468" s="13">
        <f t="shared" si="21"/>
        <v>0.38500054032635711</v>
      </c>
      <c r="R468" s="14">
        <f t="shared" si="22"/>
        <v>15379.599999999999</v>
      </c>
      <c r="S468" s="15">
        <f t="shared" si="23"/>
        <v>18147.927999999996</v>
      </c>
    </row>
    <row r="469" spans="1:19" x14ac:dyDescent="0.3">
      <c r="A469">
        <v>200010076</v>
      </c>
      <c r="B469">
        <v>273715040</v>
      </c>
      <c r="C469" s="11">
        <v>46230</v>
      </c>
      <c r="D469" s="1">
        <v>874386045779</v>
      </c>
      <c r="E469">
        <v>40586</v>
      </c>
      <c r="F469" t="s">
        <v>29</v>
      </c>
      <c r="G469" s="12">
        <v>9.5</v>
      </c>
      <c r="H469">
        <v>55</v>
      </c>
      <c r="I469">
        <v>32</v>
      </c>
      <c r="J469">
        <v>31</v>
      </c>
      <c r="K469" s="12">
        <v>9.5</v>
      </c>
      <c r="L469" t="s">
        <v>20</v>
      </c>
      <c r="M469" s="2">
        <v>4276.3999999999996</v>
      </c>
      <c r="N469" s="2">
        <v>627</v>
      </c>
      <c r="O469" s="2">
        <v>180</v>
      </c>
      <c r="P469" s="2">
        <v>1887.8</v>
      </c>
      <c r="Q469" s="13">
        <f t="shared" si="21"/>
        <v>0.37136562143447299</v>
      </c>
      <c r="R469" s="14">
        <f t="shared" si="22"/>
        <v>6971.2</v>
      </c>
      <c r="S469" s="15">
        <f t="shared" si="23"/>
        <v>8226.0159999999996</v>
      </c>
    </row>
    <row r="470" spans="1:19" x14ac:dyDescent="0.3">
      <c r="A470">
        <v>200010076</v>
      </c>
      <c r="B470">
        <v>273715040</v>
      </c>
      <c r="C470" s="11">
        <v>46230</v>
      </c>
      <c r="D470" s="1">
        <v>874380668366</v>
      </c>
      <c r="E470">
        <v>42730</v>
      </c>
      <c r="F470" t="s">
        <v>29</v>
      </c>
      <c r="G470" s="12">
        <v>0.5</v>
      </c>
      <c r="K470" s="12">
        <v>0</v>
      </c>
      <c r="L470" t="s">
        <v>20</v>
      </c>
      <c r="M470" s="2">
        <v>1031.7</v>
      </c>
      <c r="N470" s="2">
        <v>42.5</v>
      </c>
      <c r="P470" s="2">
        <v>413.6</v>
      </c>
      <c r="Q470" s="13">
        <f t="shared" si="21"/>
        <v>0.38503072053621301</v>
      </c>
      <c r="R470" s="14">
        <f t="shared" si="22"/>
        <v>1487.8000000000002</v>
      </c>
      <c r="S470" s="15">
        <f t="shared" si="23"/>
        <v>1755.604</v>
      </c>
    </row>
    <row r="471" spans="1:19" x14ac:dyDescent="0.3">
      <c r="A471">
        <v>200010076</v>
      </c>
      <c r="B471">
        <v>273715040</v>
      </c>
      <c r="C471" s="11">
        <v>46230</v>
      </c>
      <c r="D471" s="1">
        <v>874380676950</v>
      </c>
      <c r="E471">
        <v>42759</v>
      </c>
      <c r="F471" t="s">
        <v>29</v>
      </c>
      <c r="G471" s="12">
        <v>0.5</v>
      </c>
      <c r="K471" s="12">
        <v>0</v>
      </c>
      <c r="L471" t="s">
        <v>20</v>
      </c>
      <c r="M471" s="2">
        <v>1031.7</v>
      </c>
      <c r="N471" s="2">
        <v>42.5</v>
      </c>
      <c r="P471" s="2">
        <v>413.6</v>
      </c>
      <c r="Q471" s="13">
        <f t="shared" si="21"/>
        <v>0.38503072053621301</v>
      </c>
      <c r="R471" s="14">
        <f t="shared" si="22"/>
        <v>1487.8000000000002</v>
      </c>
      <c r="S471" s="15">
        <f t="shared" si="23"/>
        <v>1755.604</v>
      </c>
    </row>
    <row r="472" spans="1:19" x14ac:dyDescent="0.3">
      <c r="A472">
        <v>200010076</v>
      </c>
      <c r="B472">
        <v>273715040</v>
      </c>
      <c r="C472" s="11">
        <v>46230</v>
      </c>
      <c r="D472" s="1">
        <v>874380678194</v>
      </c>
      <c r="E472">
        <v>42751</v>
      </c>
      <c r="F472" t="s">
        <v>29</v>
      </c>
      <c r="G472" s="12">
        <v>0.5</v>
      </c>
      <c r="K472" s="12">
        <v>0</v>
      </c>
      <c r="L472" t="s">
        <v>20</v>
      </c>
      <c r="M472" s="2">
        <v>1031.7</v>
      </c>
      <c r="N472" s="2">
        <v>42.5</v>
      </c>
      <c r="P472" s="2">
        <v>413.6</v>
      </c>
      <c r="Q472" s="13">
        <f t="shared" si="21"/>
        <v>0.38503072053621301</v>
      </c>
      <c r="R472" s="14">
        <f t="shared" si="22"/>
        <v>1487.8000000000002</v>
      </c>
      <c r="S472" s="15">
        <f t="shared" si="23"/>
        <v>1755.604</v>
      </c>
    </row>
    <row r="473" spans="1:19" x14ac:dyDescent="0.3">
      <c r="A473">
        <v>200010076</v>
      </c>
      <c r="B473">
        <v>273715040</v>
      </c>
      <c r="C473" s="11">
        <v>46230</v>
      </c>
      <c r="D473" s="1">
        <v>874380686685</v>
      </c>
      <c r="E473">
        <v>42795</v>
      </c>
      <c r="F473" t="s">
        <v>29</v>
      </c>
      <c r="G473" s="12">
        <v>0.5</v>
      </c>
      <c r="K473" s="12">
        <v>0</v>
      </c>
      <c r="L473" t="s">
        <v>20</v>
      </c>
      <c r="M473" s="2">
        <v>1031.7</v>
      </c>
      <c r="N473" s="2">
        <v>42.5</v>
      </c>
      <c r="P473" s="2">
        <v>413.6</v>
      </c>
      <c r="Q473" s="13">
        <f t="shared" si="21"/>
        <v>0.38503072053621301</v>
      </c>
      <c r="R473" s="14">
        <f t="shared" si="22"/>
        <v>1487.8000000000002</v>
      </c>
      <c r="S473" s="15">
        <f t="shared" si="23"/>
        <v>1755.604</v>
      </c>
    </row>
    <row r="474" spans="1:19" x14ac:dyDescent="0.3">
      <c r="A474">
        <v>200010076</v>
      </c>
      <c r="B474">
        <v>273715040</v>
      </c>
      <c r="C474" s="11">
        <v>46230</v>
      </c>
      <c r="D474" s="1">
        <v>874380690541</v>
      </c>
      <c r="E474">
        <v>42790</v>
      </c>
      <c r="F474" t="s">
        <v>29</v>
      </c>
      <c r="G474" s="12">
        <v>0.5</v>
      </c>
      <c r="K474" s="12">
        <v>0</v>
      </c>
      <c r="L474" t="s">
        <v>20</v>
      </c>
      <c r="M474" s="2">
        <v>1031.7</v>
      </c>
      <c r="N474" s="2">
        <v>42.5</v>
      </c>
      <c r="P474" s="2">
        <v>413.6</v>
      </c>
      <c r="Q474" s="13">
        <f t="shared" si="21"/>
        <v>0.38503072053621301</v>
      </c>
      <c r="R474" s="14">
        <f t="shared" si="22"/>
        <v>1487.8000000000002</v>
      </c>
      <c r="S474" s="15">
        <f t="shared" si="23"/>
        <v>1755.604</v>
      </c>
    </row>
    <row r="475" spans="1:19" x14ac:dyDescent="0.3">
      <c r="A475">
        <v>200010076</v>
      </c>
      <c r="B475">
        <v>273715040</v>
      </c>
      <c r="C475" s="11">
        <v>46230</v>
      </c>
      <c r="D475" s="1">
        <v>874380695245</v>
      </c>
      <c r="E475">
        <v>42811</v>
      </c>
      <c r="F475" t="s">
        <v>29</v>
      </c>
      <c r="G475" s="12">
        <v>0.5</v>
      </c>
      <c r="K475" s="12">
        <v>0</v>
      </c>
      <c r="L475" t="s">
        <v>20</v>
      </c>
      <c r="M475" s="2">
        <v>1031.7</v>
      </c>
      <c r="N475" s="2">
        <v>42.5</v>
      </c>
      <c r="P475" s="2">
        <v>413.6</v>
      </c>
      <c r="Q475" s="13">
        <f t="shared" si="21"/>
        <v>0.38503072053621301</v>
      </c>
      <c r="R475" s="14">
        <f t="shared" si="22"/>
        <v>1487.8000000000002</v>
      </c>
      <c r="S475" s="15">
        <f t="shared" si="23"/>
        <v>1755.604</v>
      </c>
    </row>
    <row r="476" spans="1:19" x14ac:dyDescent="0.3">
      <c r="A476">
        <v>200010076</v>
      </c>
      <c r="B476">
        <v>273715040</v>
      </c>
      <c r="C476" s="11">
        <v>46230</v>
      </c>
      <c r="D476" s="1">
        <v>874380698818</v>
      </c>
      <c r="E476">
        <v>42782</v>
      </c>
      <c r="F476" t="s">
        <v>29</v>
      </c>
      <c r="G476" s="12">
        <v>0.5</v>
      </c>
      <c r="K476" s="12">
        <v>0</v>
      </c>
      <c r="L476" t="s">
        <v>20</v>
      </c>
      <c r="M476" s="2">
        <v>1031.7</v>
      </c>
      <c r="N476" s="2">
        <v>42.5</v>
      </c>
      <c r="P476" s="2">
        <v>413.6</v>
      </c>
      <c r="Q476" s="13">
        <f t="shared" si="21"/>
        <v>0.38503072053621301</v>
      </c>
      <c r="R476" s="14">
        <f t="shared" si="22"/>
        <v>1487.8000000000002</v>
      </c>
      <c r="S476" s="15">
        <f t="shared" si="23"/>
        <v>1755.604</v>
      </c>
    </row>
    <row r="477" spans="1:19" x14ac:dyDescent="0.3">
      <c r="A477">
        <v>200010076</v>
      </c>
      <c r="B477">
        <v>273715040</v>
      </c>
      <c r="C477" s="11">
        <v>46230</v>
      </c>
      <c r="D477" s="1">
        <v>874380701450</v>
      </c>
      <c r="E477">
        <v>42799</v>
      </c>
      <c r="F477" t="s">
        <v>29</v>
      </c>
      <c r="G477" s="12">
        <v>0.5</v>
      </c>
      <c r="K477" s="12">
        <v>0</v>
      </c>
      <c r="L477" t="s">
        <v>20</v>
      </c>
      <c r="M477" s="2">
        <v>1031.7</v>
      </c>
      <c r="N477" s="2">
        <v>42.5</v>
      </c>
      <c r="P477" s="2">
        <v>413.6</v>
      </c>
      <c r="Q477" s="13">
        <f t="shared" si="21"/>
        <v>0.38503072053621301</v>
      </c>
      <c r="R477" s="14">
        <f t="shared" si="22"/>
        <v>1487.8000000000002</v>
      </c>
      <c r="S477" s="15">
        <f t="shared" si="23"/>
        <v>1755.604</v>
      </c>
    </row>
    <row r="478" spans="1:19" x14ac:dyDescent="0.3">
      <c r="A478">
        <v>200010076</v>
      </c>
      <c r="B478">
        <v>273715040</v>
      </c>
      <c r="C478" s="11">
        <v>46230</v>
      </c>
      <c r="D478" s="1">
        <v>874380705114</v>
      </c>
      <c r="E478">
        <v>42798</v>
      </c>
      <c r="F478" t="s">
        <v>29</v>
      </c>
      <c r="G478" s="12">
        <v>0.5</v>
      </c>
      <c r="K478" s="12">
        <v>0</v>
      </c>
      <c r="L478" t="s">
        <v>20</v>
      </c>
      <c r="M478" s="2">
        <v>1031.7</v>
      </c>
      <c r="N478" s="2">
        <v>42.5</v>
      </c>
      <c r="P478" s="2">
        <v>413.6</v>
      </c>
      <c r="Q478" s="13">
        <f t="shared" si="21"/>
        <v>0.38503072053621301</v>
      </c>
      <c r="R478" s="14">
        <f t="shared" si="22"/>
        <v>1487.8000000000002</v>
      </c>
      <c r="S478" s="15">
        <f t="shared" si="23"/>
        <v>1755.604</v>
      </c>
    </row>
    <row r="479" spans="1:19" x14ac:dyDescent="0.3">
      <c r="A479">
        <v>200010076</v>
      </c>
      <c r="B479">
        <v>273715040</v>
      </c>
      <c r="C479" s="11">
        <v>46230</v>
      </c>
      <c r="D479" s="1">
        <v>874380711922</v>
      </c>
      <c r="E479">
        <v>42803</v>
      </c>
      <c r="F479" t="s">
        <v>29</v>
      </c>
      <c r="G479" s="12">
        <v>0.5</v>
      </c>
      <c r="K479" s="12">
        <v>0</v>
      </c>
      <c r="L479" t="s">
        <v>20</v>
      </c>
      <c r="M479" s="2">
        <v>1031.7</v>
      </c>
      <c r="N479" s="2">
        <v>42.5</v>
      </c>
      <c r="P479" s="2">
        <v>413.6</v>
      </c>
      <c r="Q479" s="13">
        <f t="shared" si="21"/>
        <v>0.38503072053621301</v>
      </c>
      <c r="R479" s="14">
        <f t="shared" si="22"/>
        <v>1487.8000000000002</v>
      </c>
      <c r="S479" s="15">
        <f t="shared" si="23"/>
        <v>1755.604</v>
      </c>
    </row>
    <row r="480" spans="1:19" x14ac:dyDescent="0.3">
      <c r="A480">
        <v>200010076</v>
      </c>
      <c r="B480">
        <v>273715040</v>
      </c>
      <c r="C480" s="11">
        <v>46230</v>
      </c>
      <c r="D480" s="1">
        <v>874380718434</v>
      </c>
      <c r="E480">
        <v>42805</v>
      </c>
      <c r="F480" t="s">
        <v>29</v>
      </c>
      <c r="G480" s="12">
        <v>0.5</v>
      </c>
      <c r="K480" s="12">
        <v>0</v>
      </c>
      <c r="L480" t="s">
        <v>20</v>
      </c>
      <c r="M480" s="2">
        <v>1031.7</v>
      </c>
      <c r="N480" s="2">
        <v>42.5</v>
      </c>
      <c r="P480" s="2">
        <v>413.6</v>
      </c>
      <c r="Q480" s="13">
        <f t="shared" si="21"/>
        <v>0.38503072053621301</v>
      </c>
      <c r="R480" s="14">
        <f t="shared" si="22"/>
        <v>1487.8000000000002</v>
      </c>
      <c r="S480" s="15">
        <f t="shared" si="23"/>
        <v>1755.604</v>
      </c>
    </row>
    <row r="481" spans="1:19" x14ac:dyDescent="0.3">
      <c r="A481">
        <v>200010076</v>
      </c>
      <c r="B481">
        <v>273715040</v>
      </c>
      <c r="C481" s="11">
        <v>46230</v>
      </c>
      <c r="D481" s="1">
        <v>874380724874</v>
      </c>
      <c r="E481">
        <v>42829</v>
      </c>
      <c r="F481" t="s">
        <v>29</v>
      </c>
      <c r="G481" s="12">
        <v>0.5</v>
      </c>
      <c r="K481" s="12">
        <v>0</v>
      </c>
      <c r="L481" t="s">
        <v>20</v>
      </c>
      <c r="M481" s="2">
        <v>1031.7</v>
      </c>
      <c r="N481" s="2">
        <v>42.5</v>
      </c>
      <c r="P481" s="2">
        <v>413.6</v>
      </c>
      <c r="Q481" s="13">
        <f t="shared" si="21"/>
        <v>0.38503072053621301</v>
      </c>
      <c r="R481" s="14">
        <f t="shared" si="22"/>
        <v>1487.8000000000002</v>
      </c>
      <c r="S481" s="15">
        <f t="shared" si="23"/>
        <v>1755.604</v>
      </c>
    </row>
    <row r="482" spans="1:19" x14ac:dyDescent="0.3">
      <c r="A482">
        <v>200010076</v>
      </c>
      <c r="B482">
        <v>273715040</v>
      </c>
      <c r="C482" s="11">
        <v>46230</v>
      </c>
      <c r="D482" s="1">
        <v>874380729730</v>
      </c>
      <c r="E482">
        <v>42807</v>
      </c>
      <c r="F482" t="s">
        <v>29</v>
      </c>
      <c r="G482" s="12">
        <v>0.5</v>
      </c>
      <c r="K482" s="12">
        <v>0</v>
      </c>
      <c r="L482" t="s">
        <v>20</v>
      </c>
      <c r="M482" s="2">
        <v>1031.7</v>
      </c>
      <c r="N482" s="2">
        <v>42.5</v>
      </c>
      <c r="P482" s="2">
        <v>413.6</v>
      </c>
      <c r="Q482" s="13">
        <f t="shared" si="21"/>
        <v>0.38503072053621301</v>
      </c>
      <c r="R482" s="14">
        <f t="shared" si="22"/>
        <v>1487.8000000000002</v>
      </c>
      <c r="S482" s="15">
        <f t="shared" si="23"/>
        <v>1755.604</v>
      </c>
    </row>
    <row r="483" spans="1:19" x14ac:dyDescent="0.3">
      <c r="A483">
        <v>200010076</v>
      </c>
      <c r="B483">
        <v>273715040</v>
      </c>
      <c r="C483" s="11">
        <v>46230</v>
      </c>
      <c r="D483" s="1">
        <v>874380733640</v>
      </c>
      <c r="E483">
        <v>42735</v>
      </c>
      <c r="F483" t="s">
        <v>29</v>
      </c>
      <c r="G483" s="12">
        <v>0.5</v>
      </c>
      <c r="K483" s="12">
        <v>0</v>
      </c>
      <c r="L483" t="s">
        <v>20</v>
      </c>
      <c r="M483" s="2">
        <v>1031.7</v>
      </c>
      <c r="N483" s="2">
        <v>42.5</v>
      </c>
      <c r="P483" s="2">
        <v>413.6</v>
      </c>
      <c r="Q483" s="13">
        <f t="shared" si="21"/>
        <v>0.38503072053621301</v>
      </c>
      <c r="R483" s="14">
        <f t="shared" si="22"/>
        <v>1487.8000000000002</v>
      </c>
      <c r="S483" s="15">
        <f t="shared" si="23"/>
        <v>1755.604</v>
      </c>
    </row>
    <row r="484" spans="1:19" x14ac:dyDescent="0.3">
      <c r="A484">
        <v>200010076</v>
      </c>
      <c r="B484">
        <v>273715040</v>
      </c>
      <c r="C484" s="11">
        <v>46230</v>
      </c>
      <c r="D484" s="1">
        <v>874380740150</v>
      </c>
      <c r="E484">
        <v>42713</v>
      </c>
      <c r="F484" t="s">
        <v>29</v>
      </c>
      <c r="G484" s="12">
        <v>0.5</v>
      </c>
      <c r="K484" s="12">
        <v>0</v>
      </c>
      <c r="L484" t="s">
        <v>20</v>
      </c>
      <c r="M484" s="2">
        <v>1031.7</v>
      </c>
      <c r="N484" s="2">
        <v>42.5</v>
      </c>
      <c r="P484" s="2">
        <v>413.6</v>
      </c>
      <c r="Q484" s="13">
        <f t="shared" si="21"/>
        <v>0.38503072053621301</v>
      </c>
      <c r="R484" s="14">
        <f t="shared" si="22"/>
        <v>1487.8000000000002</v>
      </c>
      <c r="S484" s="15">
        <f t="shared" si="23"/>
        <v>1755.604</v>
      </c>
    </row>
    <row r="485" spans="1:19" x14ac:dyDescent="0.3">
      <c r="A485">
        <v>200010076</v>
      </c>
      <c r="B485">
        <v>273715040</v>
      </c>
      <c r="C485" s="11">
        <v>46230</v>
      </c>
      <c r="D485" s="1">
        <v>874380743310</v>
      </c>
      <c r="E485">
        <v>42787</v>
      </c>
      <c r="F485" t="s">
        <v>29</v>
      </c>
      <c r="G485" s="12">
        <v>0.5</v>
      </c>
      <c r="K485" s="12">
        <v>0</v>
      </c>
      <c r="L485" t="s">
        <v>20</v>
      </c>
      <c r="M485" s="2">
        <v>1031.7</v>
      </c>
      <c r="N485" s="2">
        <v>42.5</v>
      </c>
      <c r="P485" s="2">
        <v>413.6</v>
      </c>
      <c r="Q485" s="13">
        <f t="shared" si="21"/>
        <v>0.38503072053621301</v>
      </c>
      <c r="R485" s="14">
        <f t="shared" si="22"/>
        <v>1487.8000000000002</v>
      </c>
      <c r="S485" s="15">
        <f t="shared" si="23"/>
        <v>1755.604</v>
      </c>
    </row>
    <row r="486" spans="1:19" x14ac:dyDescent="0.3">
      <c r="A486">
        <v>200010076</v>
      </c>
      <c r="B486">
        <v>273715040</v>
      </c>
      <c r="C486" s="11">
        <v>46230</v>
      </c>
      <c r="D486" s="1">
        <v>874380755314</v>
      </c>
      <c r="E486">
        <v>42696</v>
      </c>
      <c r="F486" t="s">
        <v>29</v>
      </c>
      <c r="G486" s="12">
        <v>0.5</v>
      </c>
      <c r="K486" s="12">
        <v>0</v>
      </c>
      <c r="L486" t="s">
        <v>20</v>
      </c>
      <c r="M486" s="2">
        <v>1031.7</v>
      </c>
      <c r="N486" s="2">
        <v>42.5</v>
      </c>
      <c r="P486" s="2">
        <v>413.6</v>
      </c>
      <c r="Q486" s="13">
        <f t="shared" si="21"/>
        <v>0.38503072053621301</v>
      </c>
      <c r="R486" s="14">
        <f t="shared" si="22"/>
        <v>1487.8000000000002</v>
      </c>
      <c r="S486" s="15">
        <f t="shared" si="23"/>
        <v>1755.604</v>
      </c>
    </row>
    <row r="487" spans="1:19" x14ac:dyDescent="0.3">
      <c r="A487">
        <v>200010076</v>
      </c>
      <c r="B487">
        <v>273715040</v>
      </c>
      <c r="C487" s="11">
        <v>46230</v>
      </c>
      <c r="D487" s="1">
        <v>874380947848</v>
      </c>
      <c r="E487">
        <v>42015</v>
      </c>
      <c r="F487" t="s">
        <v>29</v>
      </c>
      <c r="G487" s="12">
        <v>0.5</v>
      </c>
      <c r="K487" s="12">
        <v>0</v>
      </c>
      <c r="L487" t="s">
        <v>20</v>
      </c>
      <c r="M487" s="2">
        <v>1031.7</v>
      </c>
      <c r="N487" s="2">
        <v>42.5</v>
      </c>
      <c r="P487" s="2">
        <v>413.6</v>
      </c>
      <c r="Q487" s="13">
        <f t="shared" si="21"/>
        <v>0.38503072053621301</v>
      </c>
      <c r="R487" s="14">
        <f t="shared" si="22"/>
        <v>1487.8000000000002</v>
      </c>
      <c r="S487" s="15">
        <f t="shared" si="23"/>
        <v>1755.604</v>
      </c>
    </row>
    <row r="488" spans="1:19" x14ac:dyDescent="0.3">
      <c r="A488">
        <v>200010076</v>
      </c>
      <c r="B488">
        <v>273715040</v>
      </c>
      <c r="C488" s="11">
        <v>46230</v>
      </c>
      <c r="D488" s="1">
        <v>874386053160</v>
      </c>
      <c r="E488">
        <v>42783</v>
      </c>
      <c r="F488" t="s">
        <v>29</v>
      </c>
      <c r="G488" s="12">
        <v>0.5</v>
      </c>
      <c r="K488" s="12">
        <v>0</v>
      </c>
      <c r="L488" t="s">
        <v>20</v>
      </c>
      <c r="M488" s="2">
        <v>1177.5</v>
      </c>
      <c r="N488" s="2">
        <v>42.5</v>
      </c>
      <c r="P488" s="2">
        <v>469.7</v>
      </c>
      <c r="Q488" s="13">
        <f t="shared" si="21"/>
        <v>0.38500000000000001</v>
      </c>
      <c r="R488" s="14">
        <f t="shared" si="22"/>
        <v>1689.7</v>
      </c>
      <c r="S488" s="15">
        <f t="shared" si="23"/>
        <v>1993.846</v>
      </c>
    </row>
    <row r="489" spans="1:19" x14ac:dyDescent="0.3">
      <c r="A489">
        <v>200010076</v>
      </c>
      <c r="B489">
        <v>273715040</v>
      </c>
      <c r="C489" s="11">
        <v>46230</v>
      </c>
      <c r="D489" s="1">
        <v>874439855919</v>
      </c>
      <c r="E489">
        <v>39559</v>
      </c>
      <c r="F489" t="s">
        <v>30</v>
      </c>
      <c r="G489" s="12">
        <v>7</v>
      </c>
      <c r="H489">
        <v>64</v>
      </c>
      <c r="I489">
        <v>26</v>
      </c>
      <c r="J489">
        <v>24</v>
      </c>
      <c r="K489" s="12">
        <v>7</v>
      </c>
      <c r="L489" t="s">
        <v>20</v>
      </c>
      <c r="M489" s="2">
        <v>2839.2</v>
      </c>
      <c r="N489" s="2">
        <v>462</v>
      </c>
      <c r="O489" s="2">
        <v>180</v>
      </c>
      <c r="P489" s="2">
        <v>1271</v>
      </c>
      <c r="Q489" s="13">
        <f t="shared" si="21"/>
        <v>0.36510398713087444</v>
      </c>
      <c r="R489" s="14">
        <f t="shared" si="22"/>
        <v>4752.2</v>
      </c>
      <c r="S489" s="15">
        <f t="shared" si="23"/>
        <v>5607.5959999999995</v>
      </c>
    </row>
    <row r="490" spans="1:19" x14ac:dyDescent="0.3">
      <c r="A490">
        <v>200010076</v>
      </c>
      <c r="B490">
        <v>273715040</v>
      </c>
      <c r="C490" s="11">
        <v>46230</v>
      </c>
      <c r="D490" s="1">
        <v>874439868286</v>
      </c>
      <c r="E490">
        <v>7871682</v>
      </c>
      <c r="F490" t="s">
        <v>30</v>
      </c>
      <c r="G490" s="12">
        <v>8.0299999999999994</v>
      </c>
      <c r="H490">
        <v>53</v>
      </c>
      <c r="I490">
        <v>33</v>
      </c>
      <c r="J490">
        <v>15</v>
      </c>
      <c r="K490" s="12">
        <v>8</v>
      </c>
      <c r="L490" t="s">
        <v>20</v>
      </c>
      <c r="M490" s="2">
        <v>3069.3</v>
      </c>
      <c r="N490" s="2">
        <v>528</v>
      </c>
      <c r="O490" s="2">
        <v>180</v>
      </c>
      <c r="P490" s="2">
        <v>1385</v>
      </c>
      <c r="Q490" s="13">
        <f t="shared" si="21"/>
        <v>0.36666401927302567</v>
      </c>
      <c r="R490" s="14">
        <f t="shared" si="22"/>
        <v>5162.3</v>
      </c>
      <c r="S490" s="15">
        <f t="shared" si="23"/>
        <v>6091.5140000000001</v>
      </c>
    </row>
    <row r="491" spans="1:19" x14ac:dyDescent="0.3">
      <c r="A491">
        <v>200010076</v>
      </c>
      <c r="B491">
        <v>273715040</v>
      </c>
      <c r="C491" s="11">
        <v>46230</v>
      </c>
      <c r="D491" s="1">
        <v>874439877670</v>
      </c>
      <c r="E491">
        <v>7871624</v>
      </c>
      <c r="F491" t="s">
        <v>30</v>
      </c>
      <c r="G491" s="12">
        <v>12.7</v>
      </c>
      <c r="H491">
        <v>43</v>
      </c>
      <c r="I491">
        <v>41</v>
      </c>
      <c r="J491">
        <v>24</v>
      </c>
      <c r="K491" s="12">
        <v>12.7</v>
      </c>
      <c r="L491" t="s">
        <v>20</v>
      </c>
      <c r="M491" s="2">
        <v>5428.5</v>
      </c>
      <c r="N491" s="2">
        <v>858</v>
      </c>
      <c r="O491" s="2">
        <v>180</v>
      </c>
      <c r="P491" s="2">
        <v>2420.3000000000002</v>
      </c>
      <c r="Q491" s="13">
        <f t="shared" si="21"/>
        <v>0.37428284234129749</v>
      </c>
      <c r="R491" s="14">
        <f t="shared" si="22"/>
        <v>8886.7999999999993</v>
      </c>
      <c r="S491" s="15">
        <f t="shared" si="23"/>
        <v>10486.423999999999</v>
      </c>
    </row>
    <row r="492" spans="1:19" x14ac:dyDescent="0.3">
      <c r="A492">
        <v>200010076</v>
      </c>
      <c r="B492">
        <v>273715040</v>
      </c>
      <c r="C492" s="11">
        <v>46230</v>
      </c>
      <c r="D492" s="1">
        <v>874439901750</v>
      </c>
      <c r="E492">
        <v>7871629</v>
      </c>
      <c r="F492" t="s">
        <v>30</v>
      </c>
      <c r="G492" s="12">
        <v>17.28</v>
      </c>
      <c r="H492">
        <v>52</v>
      </c>
      <c r="I492">
        <v>44</v>
      </c>
      <c r="J492">
        <v>28</v>
      </c>
      <c r="K492" s="12">
        <v>17.3</v>
      </c>
      <c r="L492" t="s">
        <v>20</v>
      </c>
      <c r="M492" s="2">
        <v>6964.7</v>
      </c>
      <c r="N492" s="2">
        <v>1155</v>
      </c>
      <c r="O492" s="2">
        <v>210</v>
      </c>
      <c r="P492" s="2">
        <v>3126.1</v>
      </c>
      <c r="Q492" s="13">
        <f t="shared" si="21"/>
        <v>0.37529562889419782</v>
      </c>
      <c r="R492" s="14">
        <f t="shared" si="22"/>
        <v>11455.800000000001</v>
      </c>
      <c r="S492" s="15">
        <f t="shared" si="23"/>
        <v>13517.844000000001</v>
      </c>
    </row>
    <row r="493" spans="1:19" x14ac:dyDescent="0.3">
      <c r="A493">
        <v>200010076</v>
      </c>
      <c r="B493">
        <v>273715040</v>
      </c>
      <c r="C493" s="11">
        <v>46230</v>
      </c>
      <c r="D493" s="1">
        <v>874439928377</v>
      </c>
      <c r="E493">
        <v>42087</v>
      </c>
      <c r="F493" t="s">
        <v>30</v>
      </c>
      <c r="G493" s="12">
        <v>4</v>
      </c>
      <c r="H493">
        <v>49</v>
      </c>
      <c r="I493">
        <v>22</v>
      </c>
      <c r="J493">
        <v>21</v>
      </c>
      <c r="K493" s="12">
        <v>4</v>
      </c>
      <c r="L493" t="s">
        <v>20</v>
      </c>
      <c r="M493" s="2">
        <v>1966.1</v>
      </c>
      <c r="N493" s="2">
        <v>264</v>
      </c>
      <c r="O493" s="2">
        <v>180</v>
      </c>
      <c r="P493" s="2">
        <v>858.6</v>
      </c>
      <c r="Q493" s="13">
        <f t="shared" si="21"/>
        <v>0.35625077797601762</v>
      </c>
      <c r="R493" s="14">
        <f t="shared" si="22"/>
        <v>3268.7</v>
      </c>
      <c r="S493" s="15">
        <f t="shared" si="23"/>
        <v>3857.0659999999998</v>
      </c>
    </row>
    <row r="494" spans="1:19" x14ac:dyDescent="0.3">
      <c r="A494">
        <v>200010076</v>
      </c>
      <c r="B494">
        <v>273715040</v>
      </c>
      <c r="C494" s="11">
        <v>46230</v>
      </c>
      <c r="D494" s="1">
        <v>874439929010</v>
      </c>
      <c r="E494">
        <v>7871671</v>
      </c>
      <c r="F494" t="s">
        <v>30</v>
      </c>
      <c r="G494" s="12">
        <v>3.27</v>
      </c>
      <c r="H494">
        <v>38</v>
      </c>
      <c r="I494">
        <v>27</v>
      </c>
      <c r="J494">
        <v>12</v>
      </c>
      <c r="K494" s="12">
        <v>3.3</v>
      </c>
      <c r="L494" t="s">
        <v>20</v>
      </c>
      <c r="M494" s="2">
        <v>1833.3</v>
      </c>
      <c r="N494" s="2">
        <v>231</v>
      </c>
      <c r="O494" s="2">
        <v>180</v>
      </c>
      <c r="P494" s="2">
        <v>794.8</v>
      </c>
      <c r="Q494" s="13">
        <f t="shared" si="21"/>
        <v>0.35414160317248133</v>
      </c>
      <c r="R494" s="14">
        <f t="shared" si="22"/>
        <v>3039.1000000000004</v>
      </c>
      <c r="S494" s="15">
        <f t="shared" si="23"/>
        <v>3586.1380000000004</v>
      </c>
    </row>
    <row r="495" spans="1:19" x14ac:dyDescent="0.3">
      <c r="A495">
        <v>200010076</v>
      </c>
      <c r="B495">
        <v>273715040</v>
      </c>
      <c r="C495" s="11">
        <v>46230</v>
      </c>
      <c r="D495" s="1">
        <v>874439950953</v>
      </c>
      <c r="E495">
        <v>37123</v>
      </c>
      <c r="F495" t="s">
        <v>30</v>
      </c>
      <c r="G495" s="12">
        <v>5.5</v>
      </c>
      <c r="H495">
        <v>55</v>
      </c>
      <c r="I495">
        <v>23</v>
      </c>
      <c r="J495">
        <v>23</v>
      </c>
      <c r="K495" s="12">
        <v>5.5</v>
      </c>
      <c r="L495" t="s">
        <v>20</v>
      </c>
      <c r="M495" s="2">
        <v>2494</v>
      </c>
      <c r="N495" s="2">
        <v>363</v>
      </c>
      <c r="O495" s="2">
        <v>180</v>
      </c>
      <c r="P495" s="2">
        <v>1100</v>
      </c>
      <c r="Q495" s="13">
        <f t="shared" si="21"/>
        <v>0.3621995390187685</v>
      </c>
      <c r="R495" s="14">
        <f t="shared" si="22"/>
        <v>4137</v>
      </c>
      <c r="S495" s="15">
        <f t="shared" si="23"/>
        <v>4881.66</v>
      </c>
    </row>
    <row r="496" spans="1:19" x14ac:dyDescent="0.3">
      <c r="A496">
        <v>200010076</v>
      </c>
      <c r="B496">
        <v>273715040</v>
      </c>
      <c r="C496" s="11">
        <v>46230</v>
      </c>
      <c r="D496" s="1">
        <v>874439966183</v>
      </c>
      <c r="E496">
        <v>41611</v>
      </c>
      <c r="F496" t="s">
        <v>30</v>
      </c>
      <c r="G496" s="12">
        <v>8.5</v>
      </c>
      <c r="H496">
        <v>54</v>
      </c>
      <c r="I496">
        <v>30</v>
      </c>
      <c r="J496">
        <v>28</v>
      </c>
      <c r="K496" s="12">
        <v>8.5</v>
      </c>
      <c r="L496" t="s">
        <v>20</v>
      </c>
      <c r="M496" s="2">
        <v>3184.4</v>
      </c>
      <c r="N496" s="2">
        <v>561</v>
      </c>
      <c r="O496" s="2">
        <v>180</v>
      </c>
      <c r="P496" s="2">
        <v>1442</v>
      </c>
      <c r="Q496" s="13">
        <f t="shared" si="21"/>
        <v>0.36735109797727622</v>
      </c>
      <c r="R496" s="14">
        <f t="shared" si="22"/>
        <v>5367.4</v>
      </c>
      <c r="S496" s="15">
        <f t="shared" si="23"/>
        <v>6333.5319999999992</v>
      </c>
    </row>
    <row r="497" spans="1:19" x14ac:dyDescent="0.3">
      <c r="A497">
        <v>200010076</v>
      </c>
      <c r="B497">
        <v>273715040</v>
      </c>
      <c r="C497" s="11">
        <v>46230</v>
      </c>
      <c r="D497" s="1">
        <v>874439971333</v>
      </c>
      <c r="E497">
        <v>40717</v>
      </c>
      <c r="F497" t="s">
        <v>30</v>
      </c>
      <c r="G497" s="12">
        <v>6.5</v>
      </c>
      <c r="H497">
        <v>63</v>
      </c>
      <c r="I497">
        <v>25</v>
      </c>
      <c r="J497">
        <v>23</v>
      </c>
      <c r="K497" s="12">
        <v>6.5</v>
      </c>
      <c r="L497" t="s">
        <v>20</v>
      </c>
      <c r="M497" s="2">
        <v>2724.1</v>
      </c>
      <c r="N497" s="2">
        <v>429</v>
      </c>
      <c r="O497" s="2">
        <v>180</v>
      </c>
      <c r="P497" s="2">
        <v>1213.9000000000001</v>
      </c>
      <c r="Q497" s="13">
        <f t="shared" si="21"/>
        <v>0.36419549368455795</v>
      </c>
      <c r="R497" s="14">
        <f t="shared" si="22"/>
        <v>4547</v>
      </c>
      <c r="S497" s="15">
        <f t="shared" si="23"/>
        <v>5365.46</v>
      </c>
    </row>
    <row r="498" spans="1:19" x14ac:dyDescent="0.3">
      <c r="A498">
        <v>200010076</v>
      </c>
      <c r="B498">
        <v>273715040</v>
      </c>
      <c r="C498" s="11">
        <v>46230</v>
      </c>
      <c r="D498" s="1">
        <v>874439976081</v>
      </c>
      <c r="E498">
        <v>42168</v>
      </c>
      <c r="F498" t="s">
        <v>30</v>
      </c>
      <c r="G498" s="12">
        <v>7.5</v>
      </c>
      <c r="H498">
        <v>74</v>
      </c>
      <c r="I498">
        <v>25</v>
      </c>
      <c r="J498">
        <v>23</v>
      </c>
      <c r="K498" s="12">
        <v>7.5</v>
      </c>
      <c r="L498" t="s">
        <v>20</v>
      </c>
      <c r="M498" s="2">
        <v>2954.2</v>
      </c>
      <c r="N498" s="2">
        <v>495</v>
      </c>
      <c r="O498" s="2">
        <v>180</v>
      </c>
      <c r="P498" s="2">
        <v>1327.9</v>
      </c>
      <c r="Q498" s="13">
        <f t="shared" si="21"/>
        <v>0.36589330982034612</v>
      </c>
      <c r="R498" s="14">
        <f t="shared" si="22"/>
        <v>4957.1000000000004</v>
      </c>
      <c r="S498" s="15">
        <f t="shared" si="23"/>
        <v>5849.3779999999997</v>
      </c>
    </row>
    <row r="499" spans="1:19" x14ac:dyDescent="0.3">
      <c r="A499">
        <v>200010076</v>
      </c>
      <c r="B499">
        <v>273715040</v>
      </c>
      <c r="C499" s="11">
        <v>46230</v>
      </c>
      <c r="D499" s="1">
        <v>874439979036</v>
      </c>
      <c r="E499">
        <v>42207</v>
      </c>
      <c r="F499" t="s">
        <v>30</v>
      </c>
      <c r="G499" s="12">
        <v>9</v>
      </c>
      <c r="H499">
        <v>57</v>
      </c>
      <c r="I499">
        <v>31</v>
      </c>
      <c r="J499">
        <v>30</v>
      </c>
      <c r="K499" s="12">
        <v>9</v>
      </c>
      <c r="L499" t="s">
        <v>20</v>
      </c>
      <c r="M499" s="2">
        <v>3299.4</v>
      </c>
      <c r="N499" s="2">
        <v>594</v>
      </c>
      <c r="O499" s="2">
        <v>180</v>
      </c>
      <c r="P499" s="2">
        <v>1499</v>
      </c>
      <c r="Q499" s="13">
        <f t="shared" si="21"/>
        <v>0.36799725045416604</v>
      </c>
      <c r="R499" s="14">
        <f t="shared" si="22"/>
        <v>5572.4</v>
      </c>
      <c r="S499" s="15">
        <f t="shared" si="23"/>
        <v>6575.4319999999989</v>
      </c>
    </row>
    <row r="500" spans="1:19" x14ac:dyDescent="0.3">
      <c r="A500">
        <v>200010076</v>
      </c>
      <c r="B500">
        <v>273715040</v>
      </c>
      <c r="C500" s="11">
        <v>46230</v>
      </c>
      <c r="D500" s="1">
        <v>874439986450</v>
      </c>
      <c r="E500">
        <v>42495</v>
      </c>
      <c r="F500" t="s">
        <v>30</v>
      </c>
      <c r="G500" s="12">
        <v>6.5</v>
      </c>
      <c r="H500">
        <v>79</v>
      </c>
      <c r="I500">
        <v>22</v>
      </c>
      <c r="J500">
        <v>21</v>
      </c>
      <c r="K500" s="12">
        <v>6.5</v>
      </c>
      <c r="L500" t="s">
        <v>20</v>
      </c>
      <c r="M500" s="2">
        <v>2724.1</v>
      </c>
      <c r="N500" s="2">
        <v>429</v>
      </c>
      <c r="O500" s="2">
        <v>180</v>
      </c>
      <c r="P500" s="2">
        <v>1213.9000000000001</v>
      </c>
      <c r="Q500" s="13">
        <f t="shared" si="21"/>
        <v>0.36419549368455795</v>
      </c>
      <c r="R500" s="14">
        <f t="shared" si="22"/>
        <v>4547</v>
      </c>
      <c r="S500" s="15">
        <f t="shared" si="23"/>
        <v>5365.46</v>
      </c>
    </row>
    <row r="501" spans="1:19" x14ac:dyDescent="0.3">
      <c r="A501">
        <v>200010076</v>
      </c>
      <c r="B501">
        <v>273715040</v>
      </c>
      <c r="C501" s="11">
        <v>46230</v>
      </c>
      <c r="D501" s="1">
        <v>874440008146</v>
      </c>
      <c r="E501">
        <v>41284</v>
      </c>
      <c r="F501" t="s">
        <v>30</v>
      </c>
      <c r="G501" s="12">
        <v>7</v>
      </c>
      <c r="H501">
        <v>64</v>
      </c>
      <c r="I501">
        <v>25</v>
      </c>
      <c r="J501">
        <v>25</v>
      </c>
      <c r="K501" s="12">
        <v>7</v>
      </c>
      <c r="L501" t="s">
        <v>20</v>
      </c>
      <c r="M501" s="2">
        <v>2839.2</v>
      </c>
      <c r="N501" s="2">
        <v>462</v>
      </c>
      <c r="O501" s="2">
        <v>180</v>
      </c>
      <c r="P501" s="2">
        <v>1271</v>
      </c>
      <c r="Q501" s="13">
        <f t="shared" si="21"/>
        <v>0.36510398713087444</v>
      </c>
      <c r="R501" s="14">
        <f t="shared" si="22"/>
        <v>4752.2</v>
      </c>
      <c r="S501" s="15">
        <f t="shared" si="23"/>
        <v>5607.5959999999995</v>
      </c>
    </row>
    <row r="502" spans="1:19" x14ac:dyDescent="0.3">
      <c r="A502">
        <v>200010076</v>
      </c>
      <c r="B502">
        <v>273715040</v>
      </c>
      <c r="C502" s="11">
        <v>46230</v>
      </c>
      <c r="D502" s="1">
        <v>874440012583</v>
      </c>
      <c r="E502">
        <v>41910</v>
      </c>
      <c r="F502" t="s">
        <v>30</v>
      </c>
      <c r="G502" s="12">
        <v>3</v>
      </c>
      <c r="H502">
        <v>69</v>
      </c>
      <c r="I502">
        <v>20</v>
      </c>
      <c r="J502">
        <v>18</v>
      </c>
      <c r="K502" s="12">
        <v>4.0999999999999996</v>
      </c>
      <c r="L502" t="s">
        <v>20</v>
      </c>
      <c r="M502" s="2">
        <v>2098.9</v>
      </c>
      <c r="N502" s="2">
        <v>297</v>
      </c>
      <c r="O502" s="2">
        <v>180</v>
      </c>
      <c r="P502" s="2">
        <v>922.4</v>
      </c>
      <c r="Q502" s="13">
        <f t="shared" si="21"/>
        <v>0.35808843511005861</v>
      </c>
      <c r="R502" s="14">
        <f t="shared" si="22"/>
        <v>3498.3</v>
      </c>
      <c r="S502" s="15">
        <f t="shared" si="23"/>
        <v>4127.9939999999997</v>
      </c>
    </row>
    <row r="503" spans="1:19" x14ac:dyDescent="0.3">
      <c r="A503">
        <v>200010076</v>
      </c>
      <c r="B503">
        <v>273715040</v>
      </c>
      <c r="C503" s="11">
        <v>46230</v>
      </c>
      <c r="D503" s="1">
        <v>874440026329</v>
      </c>
      <c r="E503">
        <v>41047</v>
      </c>
      <c r="F503" t="s">
        <v>30</v>
      </c>
      <c r="G503" s="12">
        <v>3.5</v>
      </c>
      <c r="H503">
        <v>54</v>
      </c>
      <c r="I503">
        <v>19</v>
      </c>
      <c r="J503">
        <v>18</v>
      </c>
      <c r="K503" s="12">
        <v>3.5</v>
      </c>
      <c r="L503" t="s">
        <v>20</v>
      </c>
      <c r="M503" s="2">
        <v>1833.3</v>
      </c>
      <c r="N503" s="2">
        <v>231</v>
      </c>
      <c r="O503" s="2">
        <v>180</v>
      </c>
      <c r="P503" s="2">
        <v>794.8</v>
      </c>
      <c r="Q503" s="13">
        <f t="shared" si="21"/>
        <v>0.35414160317248133</v>
      </c>
      <c r="R503" s="14">
        <f t="shared" si="22"/>
        <v>3039.1000000000004</v>
      </c>
      <c r="S503" s="15">
        <f t="shared" si="23"/>
        <v>3586.1380000000004</v>
      </c>
    </row>
    <row r="504" spans="1:19" x14ac:dyDescent="0.3">
      <c r="A504">
        <v>200010076</v>
      </c>
      <c r="B504">
        <v>273715040</v>
      </c>
      <c r="C504" s="11">
        <v>46230</v>
      </c>
      <c r="D504" s="1">
        <v>874440046250</v>
      </c>
      <c r="E504">
        <v>42311</v>
      </c>
      <c r="F504" t="s">
        <v>30</v>
      </c>
      <c r="G504" s="12">
        <v>9</v>
      </c>
      <c r="H504">
        <v>51</v>
      </c>
      <c r="I504">
        <v>32</v>
      </c>
      <c r="J504">
        <v>32</v>
      </c>
      <c r="K504" s="12">
        <v>9</v>
      </c>
      <c r="L504" t="s">
        <v>20</v>
      </c>
      <c r="M504" s="2">
        <v>3299.4</v>
      </c>
      <c r="N504" s="2">
        <v>594</v>
      </c>
      <c r="O504" s="2">
        <v>180</v>
      </c>
      <c r="P504" s="2">
        <v>1499</v>
      </c>
      <c r="Q504" s="13">
        <f t="shared" si="21"/>
        <v>0.36799725045416604</v>
      </c>
      <c r="R504" s="14">
        <f t="shared" si="22"/>
        <v>5572.4</v>
      </c>
      <c r="S504" s="15">
        <f t="shared" si="23"/>
        <v>6575.4319999999989</v>
      </c>
    </row>
    <row r="505" spans="1:19" x14ac:dyDescent="0.3">
      <c r="A505">
        <v>200010076</v>
      </c>
      <c r="B505">
        <v>273715040</v>
      </c>
      <c r="C505" s="11">
        <v>46230</v>
      </c>
      <c r="D505" s="1">
        <v>874440057361</v>
      </c>
      <c r="E505">
        <v>41668</v>
      </c>
      <c r="F505" t="s">
        <v>30</v>
      </c>
      <c r="G505" s="12">
        <v>5</v>
      </c>
      <c r="H505">
        <v>60</v>
      </c>
      <c r="I505">
        <v>23</v>
      </c>
      <c r="J505">
        <v>21</v>
      </c>
      <c r="K505" s="12">
        <v>5</v>
      </c>
      <c r="L505" t="s">
        <v>20</v>
      </c>
      <c r="M505" s="2">
        <v>2231.6999999999998</v>
      </c>
      <c r="N505" s="2">
        <v>330</v>
      </c>
      <c r="O505" s="2">
        <v>180</v>
      </c>
      <c r="P505" s="2">
        <v>986.3</v>
      </c>
      <c r="Q505" s="13">
        <f t="shared" si="21"/>
        <v>0.35974030710872817</v>
      </c>
      <c r="R505" s="14">
        <f t="shared" si="22"/>
        <v>3728</v>
      </c>
      <c r="S505" s="15">
        <f t="shared" si="23"/>
        <v>4399.04</v>
      </c>
    </row>
    <row r="506" spans="1:19" x14ac:dyDescent="0.3">
      <c r="A506">
        <v>200010076</v>
      </c>
      <c r="B506">
        <v>273715040</v>
      </c>
      <c r="C506" s="11">
        <v>46230</v>
      </c>
      <c r="D506" s="1">
        <v>874440067638</v>
      </c>
      <c r="E506">
        <v>40892</v>
      </c>
      <c r="F506" t="s">
        <v>30</v>
      </c>
      <c r="G506" s="12">
        <v>3.5</v>
      </c>
      <c r="H506">
        <v>51</v>
      </c>
      <c r="I506">
        <v>20</v>
      </c>
      <c r="J506">
        <v>19</v>
      </c>
      <c r="K506" s="12">
        <v>3.5</v>
      </c>
      <c r="L506" t="s">
        <v>20</v>
      </c>
      <c r="M506" s="2">
        <v>1833.3</v>
      </c>
      <c r="N506" s="2">
        <v>231</v>
      </c>
      <c r="O506" s="2">
        <v>180</v>
      </c>
      <c r="P506" s="2">
        <v>794.8</v>
      </c>
      <c r="Q506" s="13">
        <f t="shared" si="21"/>
        <v>0.35414160317248133</v>
      </c>
      <c r="R506" s="14">
        <f t="shared" si="22"/>
        <v>3039.1000000000004</v>
      </c>
      <c r="S506" s="15">
        <f t="shared" si="23"/>
        <v>3586.1380000000004</v>
      </c>
    </row>
    <row r="507" spans="1:19" x14ac:dyDescent="0.3">
      <c r="A507">
        <v>200010076</v>
      </c>
      <c r="B507">
        <v>273715040</v>
      </c>
      <c r="C507" s="11">
        <v>46230</v>
      </c>
      <c r="D507" s="1">
        <v>874440073129</v>
      </c>
      <c r="E507">
        <v>42127</v>
      </c>
      <c r="F507" t="s">
        <v>30</v>
      </c>
      <c r="G507" s="12">
        <v>4.5</v>
      </c>
      <c r="H507">
        <v>65</v>
      </c>
      <c r="I507">
        <v>21</v>
      </c>
      <c r="J507">
        <v>19</v>
      </c>
      <c r="K507" s="12">
        <v>4.5</v>
      </c>
      <c r="L507" t="s">
        <v>20</v>
      </c>
      <c r="M507" s="2">
        <v>2098.9</v>
      </c>
      <c r="N507" s="2">
        <v>297</v>
      </c>
      <c r="O507" s="2">
        <v>180</v>
      </c>
      <c r="P507" s="2">
        <v>922.4</v>
      </c>
      <c r="Q507" s="13">
        <f t="shared" si="21"/>
        <v>0.35808843511005861</v>
      </c>
      <c r="R507" s="14">
        <f t="shared" si="22"/>
        <v>3498.3</v>
      </c>
      <c r="S507" s="15">
        <f t="shared" si="23"/>
        <v>4127.9939999999997</v>
      </c>
    </row>
    <row r="508" spans="1:19" x14ac:dyDescent="0.3">
      <c r="A508">
        <v>200010076</v>
      </c>
      <c r="B508">
        <v>273715040</v>
      </c>
      <c r="C508" s="11">
        <v>46230</v>
      </c>
      <c r="D508" s="1">
        <v>874440083704</v>
      </c>
      <c r="E508">
        <v>4103830146</v>
      </c>
      <c r="F508" t="s">
        <v>30</v>
      </c>
      <c r="G508" s="12">
        <v>6</v>
      </c>
      <c r="H508">
        <v>53</v>
      </c>
      <c r="I508">
        <v>25</v>
      </c>
      <c r="J508">
        <v>25</v>
      </c>
      <c r="K508" s="12">
        <v>6</v>
      </c>
      <c r="L508" t="s">
        <v>20</v>
      </c>
      <c r="M508" s="2">
        <v>2609.1</v>
      </c>
      <c r="N508" s="2">
        <v>396</v>
      </c>
      <c r="O508" s="2">
        <v>180</v>
      </c>
      <c r="P508" s="2">
        <v>1157</v>
      </c>
      <c r="Q508" s="13">
        <f t="shared" si="21"/>
        <v>0.36325390097642146</v>
      </c>
      <c r="R508" s="14">
        <f t="shared" si="22"/>
        <v>4342.1000000000004</v>
      </c>
      <c r="S508" s="15">
        <f t="shared" si="23"/>
        <v>5123.6779999999999</v>
      </c>
    </row>
    <row r="509" spans="1:19" x14ac:dyDescent="0.3">
      <c r="A509">
        <v>200010076</v>
      </c>
      <c r="B509">
        <v>273715040</v>
      </c>
      <c r="C509" s="11">
        <v>46230</v>
      </c>
      <c r="D509" s="1">
        <v>874440092970</v>
      </c>
      <c r="E509">
        <v>41060</v>
      </c>
      <c r="F509" t="s">
        <v>30</v>
      </c>
      <c r="G509" s="12">
        <v>5.5</v>
      </c>
      <c r="H509">
        <v>54</v>
      </c>
      <c r="I509">
        <v>24</v>
      </c>
      <c r="J509">
        <v>24</v>
      </c>
      <c r="K509" s="12">
        <v>5.5</v>
      </c>
      <c r="L509" t="s">
        <v>20</v>
      </c>
      <c r="M509" s="2">
        <v>2494</v>
      </c>
      <c r="N509" s="2">
        <v>363</v>
      </c>
      <c r="O509" s="2">
        <v>180</v>
      </c>
      <c r="P509" s="2">
        <v>1100</v>
      </c>
      <c r="Q509" s="13">
        <f t="shared" si="21"/>
        <v>0.3621995390187685</v>
      </c>
      <c r="R509" s="14">
        <f t="shared" si="22"/>
        <v>4137</v>
      </c>
      <c r="S509" s="15">
        <f t="shared" si="23"/>
        <v>4881.66</v>
      </c>
    </row>
    <row r="510" spans="1:19" x14ac:dyDescent="0.3">
      <c r="A510">
        <v>200010076</v>
      </c>
      <c r="B510">
        <v>273715040</v>
      </c>
      <c r="C510" s="11">
        <v>46230</v>
      </c>
      <c r="D510" s="1">
        <v>874440108951</v>
      </c>
      <c r="E510">
        <v>39765</v>
      </c>
      <c r="F510" t="s">
        <v>30</v>
      </c>
      <c r="G510" s="12">
        <v>6</v>
      </c>
      <c r="H510">
        <v>59</v>
      </c>
      <c r="I510">
        <v>24</v>
      </c>
      <c r="J510">
        <v>24</v>
      </c>
      <c r="K510" s="12">
        <v>6</v>
      </c>
      <c r="L510" t="s">
        <v>20</v>
      </c>
      <c r="M510" s="2">
        <v>2609.1</v>
      </c>
      <c r="N510" s="2">
        <v>396</v>
      </c>
      <c r="O510" s="2">
        <v>180</v>
      </c>
      <c r="P510" s="2">
        <v>1157</v>
      </c>
      <c r="Q510" s="13">
        <f t="shared" si="21"/>
        <v>0.36325390097642146</v>
      </c>
      <c r="R510" s="14">
        <f t="shared" si="22"/>
        <v>4342.1000000000004</v>
      </c>
      <c r="S510" s="15">
        <f t="shared" si="23"/>
        <v>5123.6779999999999</v>
      </c>
    </row>
    <row r="511" spans="1:19" x14ac:dyDescent="0.3">
      <c r="A511">
        <v>200010076</v>
      </c>
      <c r="B511">
        <v>273715040</v>
      </c>
      <c r="C511" s="11">
        <v>46230</v>
      </c>
      <c r="D511" s="1">
        <v>874440123837</v>
      </c>
      <c r="E511">
        <v>40743</v>
      </c>
      <c r="F511" t="s">
        <v>30</v>
      </c>
      <c r="G511" s="12">
        <v>4</v>
      </c>
      <c r="H511">
        <v>43</v>
      </c>
      <c r="I511">
        <v>22</v>
      </c>
      <c r="J511">
        <v>22</v>
      </c>
      <c r="K511" s="12">
        <v>4</v>
      </c>
      <c r="L511" t="s">
        <v>20</v>
      </c>
      <c r="M511" s="2">
        <v>1966.1</v>
      </c>
      <c r="N511" s="2">
        <v>264</v>
      </c>
      <c r="O511" s="2">
        <v>180</v>
      </c>
      <c r="P511" s="2">
        <v>858.6</v>
      </c>
      <c r="Q511" s="13">
        <f t="shared" si="21"/>
        <v>0.35625077797601762</v>
      </c>
      <c r="R511" s="14">
        <f t="shared" si="22"/>
        <v>3268.7</v>
      </c>
      <c r="S511" s="15">
        <f t="shared" si="23"/>
        <v>3857.0659999999998</v>
      </c>
    </row>
    <row r="512" spans="1:19" x14ac:dyDescent="0.3">
      <c r="A512">
        <v>200010076</v>
      </c>
      <c r="B512">
        <v>273715040</v>
      </c>
      <c r="C512" s="11">
        <v>46230</v>
      </c>
      <c r="D512" s="1">
        <v>874440130195</v>
      </c>
      <c r="E512">
        <v>41148</v>
      </c>
      <c r="F512" t="s">
        <v>30</v>
      </c>
      <c r="G512" s="12">
        <v>8.5</v>
      </c>
      <c r="H512">
        <v>55</v>
      </c>
      <c r="I512">
        <v>30</v>
      </c>
      <c r="J512">
        <v>29</v>
      </c>
      <c r="K512" s="12">
        <v>8.5</v>
      </c>
      <c r="L512" t="s">
        <v>20</v>
      </c>
      <c r="M512" s="2">
        <v>3184.4</v>
      </c>
      <c r="N512" s="2">
        <v>561</v>
      </c>
      <c r="O512" s="2">
        <v>180</v>
      </c>
      <c r="P512" s="2">
        <v>1442</v>
      </c>
      <c r="Q512" s="13">
        <f t="shared" si="21"/>
        <v>0.36735109797727622</v>
      </c>
      <c r="R512" s="14">
        <f t="shared" si="22"/>
        <v>5367.4</v>
      </c>
      <c r="S512" s="15">
        <f t="shared" si="23"/>
        <v>6333.5319999999992</v>
      </c>
    </row>
    <row r="513" spans="1:19" x14ac:dyDescent="0.3">
      <c r="A513">
        <v>200010076</v>
      </c>
      <c r="B513">
        <v>273715040</v>
      </c>
      <c r="C513" s="11">
        <v>46230</v>
      </c>
      <c r="D513" s="1">
        <v>874440134580</v>
      </c>
      <c r="E513">
        <v>41585</v>
      </c>
      <c r="F513" t="s">
        <v>30</v>
      </c>
      <c r="G513" s="12">
        <v>5</v>
      </c>
      <c r="H513">
        <v>67</v>
      </c>
      <c r="I513">
        <v>21</v>
      </c>
      <c r="J513">
        <v>20</v>
      </c>
      <c r="K513" s="12">
        <v>5</v>
      </c>
      <c r="L513" t="s">
        <v>20</v>
      </c>
      <c r="M513" s="2">
        <v>2231.6999999999998</v>
      </c>
      <c r="N513" s="2">
        <v>330</v>
      </c>
      <c r="O513" s="2">
        <v>180</v>
      </c>
      <c r="P513" s="2">
        <v>986.3</v>
      </c>
      <c r="Q513" s="13">
        <f t="shared" si="21"/>
        <v>0.35974030710872817</v>
      </c>
      <c r="R513" s="14">
        <f t="shared" si="22"/>
        <v>3728</v>
      </c>
      <c r="S513" s="15">
        <f t="shared" si="23"/>
        <v>4399.04</v>
      </c>
    </row>
    <row r="514" spans="1:19" x14ac:dyDescent="0.3">
      <c r="A514">
        <v>200010076</v>
      </c>
      <c r="B514">
        <v>273715040</v>
      </c>
      <c r="C514" s="11">
        <v>46230</v>
      </c>
      <c r="D514" s="1">
        <v>874440138520</v>
      </c>
      <c r="E514">
        <v>40491</v>
      </c>
      <c r="F514" t="s">
        <v>30</v>
      </c>
      <c r="G514" s="12">
        <v>1.5</v>
      </c>
      <c r="H514">
        <v>37</v>
      </c>
      <c r="I514">
        <v>16</v>
      </c>
      <c r="J514">
        <v>14</v>
      </c>
      <c r="K514" s="12">
        <v>1.5</v>
      </c>
      <c r="L514" t="s">
        <v>20</v>
      </c>
      <c r="M514" s="2">
        <v>1353.7</v>
      </c>
      <c r="N514" s="2">
        <v>99</v>
      </c>
      <c r="O514" s="2">
        <v>180</v>
      </c>
      <c r="P514" s="2">
        <v>559.29999999999995</v>
      </c>
      <c r="Q514" s="13">
        <f t="shared" si="21"/>
        <v>0.34256140135971086</v>
      </c>
      <c r="R514" s="14">
        <f t="shared" si="22"/>
        <v>2192</v>
      </c>
      <c r="S514" s="15">
        <f t="shared" si="23"/>
        <v>2586.56</v>
      </c>
    </row>
    <row r="515" spans="1:19" x14ac:dyDescent="0.3">
      <c r="A515">
        <v>200010076</v>
      </c>
      <c r="B515">
        <v>273715040</v>
      </c>
      <c r="C515" s="11">
        <v>46230</v>
      </c>
      <c r="D515" s="1">
        <v>874440144982</v>
      </c>
      <c r="E515">
        <v>41233</v>
      </c>
      <c r="F515" t="s">
        <v>30</v>
      </c>
      <c r="G515" s="12">
        <v>7.5</v>
      </c>
      <c r="H515">
        <v>66</v>
      </c>
      <c r="I515">
        <v>27</v>
      </c>
      <c r="J515">
        <v>24</v>
      </c>
      <c r="K515" s="12">
        <v>7.5</v>
      </c>
      <c r="L515" t="s">
        <v>20</v>
      </c>
      <c r="M515" s="2">
        <v>2954.2</v>
      </c>
      <c r="N515" s="2">
        <v>495</v>
      </c>
      <c r="O515" s="2">
        <v>180</v>
      </c>
      <c r="P515" s="2">
        <v>1327.9</v>
      </c>
      <c r="Q515" s="13">
        <f t="shared" si="21"/>
        <v>0.36589330982034612</v>
      </c>
      <c r="R515" s="14">
        <f t="shared" si="22"/>
        <v>4957.1000000000004</v>
      </c>
      <c r="S515" s="15">
        <f t="shared" si="23"/>
        <v>5849.3779999999997</v>
      </c>
    </row>
    <row r="516" spans="1:19" x14ac:dyDescent="0.3">
      <c r="A516">
        <v>200010076</v>
      </c>
      <c r="B516">
        <v>273715040</v>
      </c>
      <c r="C516" s="11">
        <v>46230</v>
      </c>
      <c r="D516" s="1">
        <v>874440150944</v>
      </c>
      <c r="E516">
        <v>41959</v>
      </c>
      <c r="F516" t="s">
        <v>30</v>
      </c>
      <c r="G516" s="12">
        <v>7</v>
      </c>
      <c r="H516">
        <v>65</v>
      </c>
      <c r="I516">
        <v>25</v>
      </c>
      <c r="J516">
        <v>24</v>
      </c>
      <c r="K516" s="12">
        <v>7</v>
      </c>
      <c r="L516" t="s">
        <v>20</v>
      </c>
      <c r="M516" s="2">
        <v>2839.2</v>
      </c>
      <c r="N516" s="2">
        <v>462</v>
      </c>
      <c r="O516" s="2">
        <v>180</v>
      </c>
      <c r="P516" s="2">
        <v>1271</v>
      </c>
      <c r="Q516" s="13">
        <f t="shared" si="21"/>
        <v>0.36510398713087444</v>
      </c>
      <c r="R516" s="14">
        <f t="shared" si="22"/>
        <v>4752.2</v>
      </c>
      <c r="S516" s="15">
        <f t="shared" si="23"/>
        <v>5607.5959999999995</v>
      </c>
    </row>
    <row r="517" spans="1:19" x14ac:dyDescent="0.3">
      <c r="A517">
        <v>200010076</v>
      </c>
      <c r="B517">
        <v>273715040</v>
      </c>
      <c r="C517" s="11">
        <v>46230</v>
      </c>
      <c r="D517" s="1">
        <v>874440162157</v>
      </c>
      <c r="E517">
        <v>42417</v>
      </c>
      <c r="F517" t="s">
        <v>30</v>
      </c>
      <c r="G517" s="12">
        <v>8</v>
      </c>
      <c r="H517">
        <v>51</v>
      </c>
      <c r="I517">
        <v>31</v>
      </c>
      <c r="J517">
        <v>29</v>
      </c>
      <c r="K517" s="12">
        <v>8</v>
      </c>
      <c r="L517" t="s">
        <v>20</v>
      </c>
      <c r="M517" s="2">
        <v>3069.3</v>
      </c>
      <c r="N517" s="2">
        <v>528</v>
      </c>
      <c r="O517" s="2">
        <v>180</v>
      </c>
      <c r="P517" s="2">
        <v>1385</v>
      </c>
      <c r="Q517" s="13">
        <f t="shared" si="21"/>
        <v>0.36666401927302567</v>
      </c>
      <c r="R517" s="14">
        <f t="shared" si="22"/>
        <v>5162.3</v>
      </c>
      <c r="S517" s="15">
        <f t="shared" si="23"/>
        <v>6091.5140000000001</v>
      </c>
    </row>
    <row r="518" spans="1:19" x14ac:dyDescent="0.3">
      <c r="A518">
        <v>200010076</v>
      </c>
      <c r="B518">
        <v>273715040</v>
      </c>
      <c r="C518" s="11">
        <v>46230</v>
      </c>
      <c r="D518" s="1">
        <v>874440197850</v>
      </c>
      <c r="E518">
        <v>40443</v>
      </c>
      <c r="F518" t="s">
        <v>30</v>
      </c>
      <c r="G518" s="12">
        <v>8.5</v>
      </c>
      <c r="H518">
        <v>89</v>
      </c>
      <c r="I518">
        <v>23</v>
      </c>
      <c r="J518">
        <v>23</v>
      </c>
      <c r="K518" s="12">
        <v>8.5</v>
      </c>
      <c r="L518" t="s">
        <v>20</v>
      </c>
      <c r="M518" s="2">
        <v>3184.4</v>
      </c>
      <c r="N518" s="2">
        <v>561</v>
      </c>
      <c r="O518" s="2">
        <v>180</v>
      </c>
      <c r="P518" s="2">
        <v>1442</v>
      </c>
      <c r="Q518" s="13">
        <f t="shared" si="21"/>
        <v>0.36735109797727622</v>
      </c>
      <c r="R518" s="14">
        <f t="shared" si="22"/>
        <v>5367.4</v>
      </c>
      <c r="S518" s="15">
        <f t="shared" si="23"/>
        <v>6333.5319999999992</v>
      </c>
    </row>
    <row r="519" spans="1:19" x14ac:dyDescent="0.3">
      <c r="A519">
        <v>200010076</v>
      </c>
      <c r="B519">
        <v>273715040</v>
      </c>
      <c r="C519" s="11">
        <v>46230</v>
      </c>
      <c r="D519" s="1">
        <v>874440213894</v>
      </c>
      <c r="E519">
        <v>40143</v>
      </c>
      <c r="F519" t="s">
        <v>30</v>
      </c>
      <c r="G519" s="12">
        <v>6</v>
      </c>
      <c r="H519">
        <v>52</v>
      </c>
      <c r="I519">
        <v>25</v>
      </c>
      <c r="J519">
        <v>25</v>
      </c>
      <c r="K519" s="12">
        <v>6</v>
      </c>
      <c r="L519" t="s">
        <v>20</v>
      </c>
      <c r="M519" s="2">
        <v>2609.1</v>
      </c>
      <c r="N519" s="2">
        <v>396</v>
      </c>
      <c r="O519" s="2">
        <v>180</v>
      </c>
      <c r="P519" s="2">
        <v>1157</v>
      </c>
      <c r="Q519" s="13">
        <f t="shared" si="21"/>
        <v>0.36325390097642146</v>
      </c>
      <c r="R519" s="14">
        <f t="shared" si="22"/>
        <v>4342.1000000000004</v>
      </c>
      <c r="S519" s="15">
        <f t="shared" si="23"/>
        <v>5123.6779999999999</v>
      </c>
    </row>
    <row r="520" spans="1:19" x14ac:dyDescent="0.3">
      <c r="A520">
        <v>200010076</v>
      </c>
      <c r="B520">
        <v>273715040</v>
      </c>
      <c r="C520" s="11">
        <v>46230</v>
      </c>
      <c r="D520" s="1">
        <v>874440221193</v>
      </c>
      <c r="E520">
        <v>42328</v>
      </c>
      <c r="F520" t="s">
        <v>30</v>
      </c>
      <c r="G520" s="12">
        <v>9</v>
      </c>
      <c r="H520">
        <v>63</v>
      </c>
      <c r="I520">
        <v>29</v>
      </c>
      <c r="J520">
        <v>28</v>
      </c>
      <c r="K520" s="12">
        <v>9</v>
      </c>
      <c r="L520" t="s">
        <v>20</v>
      </c>
      <c r="M520" s="2">
        <v>3299.4</v>
      </c>
      <c r="N520" s="2">
        <v>594</v>
      </c>
      <c r="O520" s="2">
        <v>180</v>
      </c>
      <c r="P520" s="2">
        <v>1499</v>
      </c>
      <c r="Q520" s="13">
        <f t="shared" si="21"/>
        <v>0.36799725045416604</v>
      </c>
      <c r="R520" s="14">
        <f t="shared" si="22"/>
        <v>5572.4</v>
      </c>
      <c r="S520" s="15">
        <f t="shared" si="23"/>
        <v>6575.4319999999989</v>
      </c>
    </row>
    <row r="521" spans="1:19" x14ac:dyDescent="0.3">
      <c r="A521">
        <v>200010076</v>
      </c>
      <c r="B521">
        <v>273715040</v>
      </c>
      <c r="C521" s="11">
        <v>46230</v>
      </c>
      <c r="D521" s="1">
        <v>874440270022</v>
      </c>
      <c r="E521">
        <v>42411</v>
      </c>
      <c r="F521" t="s">
        <v>30</v>
      </c>
      <c r="G521" s="12">
        <v>23.5</v>
      </c>
      <c r="H521">
        <v>61</v>
      </c>
      <c r="I521">
        <v>49</v>
      </c>
      <c r="J521">
        <v>46</v>
      </c>
      <c r="K521" s="12">
        <v>23.5</v>
      </c>
      <c r="L521" t="s">
        <v>20</v>
      </c>
      <c r="M521" s="2">
        <v>9329.6</v>
      </c>
      <c r="N521" s="2">
        <v>1551</v>
      </c>
      <c r="O521" s="2">
        <v>280</v>
      </c>
      <c r="P521" s="2">
        <v>4189</v>
      </c>
      <c r="Q521" s="13">
        <f t="shared" ref="Q521:Q554" si="24">+P521/SUM(M521:O521)</f>
        <v>0.37533824346361305</v>
      </c>
      <c r="R521" s="14">
        <f t="shared" ref="R521:R554" si="25">SUM(M521:P521)</f>
        <v>15349.6</v>
      </c>
      <c r="S521" s="15">
        <f t="shared" ref="S521:S554" si="26">+R521*1.18</f>
        <v>18112.527999999998</v>
      </c>
    </row>
    <row r="522" spans="1:19" x14ac:dyDescent="0.3">
      <c r="A522">
        <v>200010076</v>
      </c>
      <c r="B522">
        <v>273715040</v>
      </c>
      <c r="C522" s="11">
        <v>46230</v>
      </c>
      <c r="D522" s="1">
        <v>874440279475</v>
      </c>
      <c r="E522">
        <v>42319</v>
      </c>
      <c r="F522" t="s">
        <v>30</v>
      </c>
      <c r="G522" s="12">
        <v>11.5</v>
      </c>
      <c r="H522">
        <v>54</v>
      </c>
      <c r="I522">
        <v>36</v>
      </c>
      <c r="J522">
        <v>35</v>
      </c>
      <c r="K522" s="12">
        <v>11.5</v>
      </c>
      <c r="L522" t="s">
        <v>20</v>
      </c>
      <c r="M522" s="2">
        <v>4916.5</v>
      </c>
      <c r="N522" s="2">
        <v>759</v>
      </c>
      <c r="O522" s="2">
        <v>180</v>
      </c>
      <c r="P522" s="2">
        <v>2185.1</v>
      </c>
      <c r="Q522" s="13">
        <f t="shared" si="24"/>
        <v>0.3731705234395013</v>
      </c>
      <c r="R522" s="14">
        <f t="shared" si="25"/>
        <v>8040.6</v>
      </c>
      <c r="S522" s="15">
        <f t="shared" si="26"/>
        <v>9487.9079999999994</v>
      </c>
    </row>
    <row r="523" spans="1:19" x14ac:dyDescent="0.3">
      <c r="A523">
        <v>200010076</v>
      </c>
      <c r="B523">
        <v>273715040</v>
      </c>
      <c r="C523" s="11">
        <v>46230</v>
      </c>
      <c r="D523" s="1">
        <v>874440286422</v>
      </c>
      <c r="E523">
        <v>40037</v>
      </c>
      <c r="F523" t="s">
        <v>30</v>
      </c>
      <c r="G523" s="12">
        <v>16.5</v>
      </c>
      <c r="H523">
        <v>79</v>
      </c>
      <c r="I523">
        <v>36</v>
      </c>
      <c r="J523">
        <v>34</v>
      </c>
      <c r="K523" s="12">
        <v>16.5</v>
      </c>
      <c r="L523" t="s">
        <v>20</v>
      </c>
      <c r="M523" s="2">
        <v>6623.3</v>
      </c>
      <c r="N523" s="2">
        <v>1089</v>
      </c>
      <c r="O523" s="2">
        <v>180</v>
      </c>
      <c r="P523" s="2">
        <v>2969.2</v>
      </c>
      <c r="Q523" s="13">
        <f t="shared" si="24"/>
        <v>0.3762147916323505</v>
      </c>
      <c r="R523" s="14">
        <f t="shared" si="25"/>
        <v>10861.5</v>
      </c>
      <c r="S523" s="15">
        <f t="shared" si="26"/>
        <v>12816.57</v>
      </c>
    </row>
    <row r="524" spans="1:19" x14ac:dyDescent="0.3">
      <c r="A524">
        <v>200010076</v>
      </c>
      <c r="B524">
        <v>273715040</v>
      </c>
      <c r="C524" s="11">
        <v>46230</v>
      </c>
      <c r="D524" s="1">
        <v>874440300430</v>
      </c>
      <c r="E524">
        <v>42251</v>
      </c>
      <c r="F524" t="s">
        <v>30</v>
      </c>
      <c r="G524" s="12">
        <v>8</v>
      </c>
      <c r="H524">
        <v>63</v>
      </c>
      <c r="I524">
        <v>27</v>
      </c>
      <c r="J524">
        <v>26</v>
      </c>
      <c r="K524" s="12">
        <v>8</v>
      </c>
      <c r="L524" t="s">
        <v>20</v>
      </c>
      <c r="M524" s="2">
        <v>3069.3</v>
      </c>
      <c r="N524" s="2">
        <v>528</v>
      </c>
      <c r="O524" s="2">
        <v>180</v>
      </c>
      <c r="P524" s="2">
        <v>1385</v>
      </c>
      <c r="Q524" s="13">
        <f t="shared" si="24"/>
        <v>0.36666401927302567</v>
      </c>
      <c r="R524" s="14">
        <f t="shared" si="25"/>
        <v>5162.3</v>
      </c>
      <c r="S524" s="15">
        <f t="shared" si="26"/>
        <v>6091.5140000000001</v>
      </c>
    </row>
    <row r="525" spans="1:19" x14ac:dyDescent="0.3">
      <c r="A525">
        <v>200010076</v>
      </c>
      <c r="B525">
        <v>273715040</v>
      </c>
      <c r="C525" s="11">
        <v>46230</v>
      </c>
      <c r="D525" s="1">
        <v>874440331304</v>
      </c>
      <c r="E525">
        <v>41419</v>
      </c>
      <c r="F525" t="s">
        <v>30</v>
      </c>
      <c r="G525" s="12">
        <v>12.5</v>
      </c>
      <c r="H525">
        <v>59</v>
      </c>
      <c r="I525">
        <v>36</v>
      </c>
      <c r="J525">
        <v>34</v>
      </c>
      <c r="K525" s="12">
        <v>12.5</v>
      </c>
      <c r="L525" t="s">
        <v>20</v>
      </c>
      <c r="M525" s="2">
        <v>5257.8</v>
      </c>
      <c r="N525" s="2">
        <v>825</v>
      </c>
      <c r="O525" s="2">
        <v>180</v>
      </c>
      <c r="P525" s="2">
        <v>2341.9</v>
      </c>
      <c r="Q525" s="13">
        <f t="shared" si="24"/>
        <v>0.37393817461838158</v>
      </c>
      <c r="R525" s="14">
        <f t="shared" si="25"/>
        <v>8604.7000000000007</v>
      </c>
      <c r="S525" s="15">
        <f t="shared" si="26"/>
        <v>10153.546</v>
      </c>
    </row>
    <row r="526" spans="1:19" x14ac:dyDescent="0.3">
      <c r="A526">
        <v>200010076</v>
      </c>
      <c r="B526">
        <v>273715040</v>
      </c>
      <c r="C526" s="11">
        <v>46230</v>
      </c>
      <c r="D526" s="1">
        <v>874440339680</v>
      </c>
      <c r="E526">
        <v>42552</v>
      </c>
      <c r="F526" t="s">
        <v>30</v>
      </c>
      <c r="G526" s="12">
        <v>6.5</v>
      </c>
      <c r="H526">
        <v>37</v>
      </c>
      <c r="I526">
        <v>28</v>
      </c>
      <c r="J526">
        <v>23</v>
      </c>
      <c r="K526" s="12">
        <v>6.5</v>
      </c>
      <c r="L526" t="s">
        <v>20</v>
      </c>
      <c r="M526" s="2">
        <v>2724.1</v>
      </c>
      <c r="N526" s="2">
        <v>429</v>
      </c>
      <c r="O526" s="2">
        <v>180</v>
      </c>
      <c r="P526" s="2">
        <v>1213.9000000000001</v>
      </c>
      <c r="Q526" s="13">
        <f t="shared" si="24"/>
        <v>0.36419549368455795</v>
      </c>
      <c r="R526" s="14">
        <f t="shared" si="25"/>
        <v>4547</v>
      </c>
      <c r="S526" s="15">
        <f t="shared" si="26"/>
        <v>5365.46</v>
      </c>
    </row>
    <row r="527" spans="1:19" x14ac:dyDescent="0.3">
      <c r="A527">
        <v>200010076</v>
      </c>
      <c r="B527">
        <v>273715040</v>
      </c>
      <c r="C527" s="11">
        <v>46230</v>
      </c>
      <c r="D527" s="1">
        <v>874440344576</v>
      </c>
      <c r="E527">
        <v>40419</v>
      </c>
      <c r="F527" t="s">
        <v>30</v>
      </c>
      <c r="G527" s="12">
        <v>5</v>
      </c>
      <c r="H527">
        <v>49</v>
      </c>
      <c r="I527">
        <v>24</v>
      </c>
      <c r="J527">
        <v>24</v>
      </c>
      <c r="K527" s="12">
        <v>5</v>
      </c>
      <c r="L527" t="s">
        <v>20</v>
      </c>
      <c r="M527" s="2">
        <v>2231.6999999999998</v>
      </c>
      <c r="N527" s="2">
        <v>330</v>
      </c>
      <c r="O527" s="2">
        <v>180</v>
      </c>
      <c r="P527" s="2">
        <v>986.3</v>
      </c>
      <c r="Q527" s="13">
        <f t="shared" si="24"/>
        <v>0.35974030710872817</v>
      </c>
      <c r="R527" s="14">
        <f t="shared" si="25"/>
        <v>3728</v>
      </c>
      <c r="S527" s="15">
        <f t="shared" si="26"/>
        <v>4399.04</v>
      </c>
    </row>
    <row r="528" spans="1:19" x14ac:dyDescent="0.3">
      <c r="A528">
        <v>200010076</v>
      </c>
      <c r="B528">
        <v>273715040</v>
      </c>
      <c r="C528" s="11">
        <v>46230</v>
      </c>
      <c r="D528" s="1">
        <v>874440348001</v>
      </c>
      <c r="E528" t="s">
        <v>31</v>
      </c>
      <c r="F528" t="s">
        <v>30</v>
      </c>
      <c r="G528" s="12">
        <v>13.5</v>
      </c>
      <c r="H528">
        <v>64</v>
      </c>
      <c r="I528">
        <v>36</v>
      </c>
      <c r="J528">
        <v>35</v>
      </c>
      <c r="K528" s="12">
        <v>13.5</v>
      </c>
      <c r="L528" t="s">
        <v>20</v>
      </c>
      <c r="M528" s="2">
        <v>5599.2</v>
      </c>
      <c r="N528" s="2">
        <v>891</v>
      </c>
      <c r="O528" s="2">
        <v>180</v>
      </c>
      <c r="P528" s="2">
        <v>2498.6999999999998</v>
      </c>
      <c r="Q528" s="13">
        <f t="shared" si="24"/>
        <v>0.37460645857695418</v>
      </c>
      <c r="R528" s="14">
        <f t="shared" si="25"/>
        <v>9168.9</v>
      </c>
      <c r="S528" s="15">
        <f t="shared" si="26"/>
        <v>10819.302</v>
      </c>
    </row>
    <row r="529" spans="1:19" x14ac:dyDescent="0.3">
      <c r="A529">
        <v>200010076</v>
      </c>
      <c r="B529">
        <v>273715040</v>
      </c>
      <c r="C529" s="11">
        <v>46230</v>
      </c>
      <c r="D529" s="1">
        <v>874440352666</v>
      </c>
      <c r="E529">
        <v>41464</v>
      </c>
      <c r="F529" t="s">
        <v>30</v>
      </c>
      <c r="G529" s="12">
        <v>7</v>
      </c>
      <c r="H529">
        <v>71</v>
      </c>
      <c r="I529">
        <v>24</v>
      </c>
      <c r="J529">
        <v>23</v>
      </c>
      <c r="K529" s="12">
        <v>7</v>
      </c>
      <c r="L529" t="s">
        <v>20</v>
      </c>
      <c r="M529" s="2">
        <v>2839.2</v>
      </c>
      <c r="N529" s="2">
        <v>462</v>
      </c>
      <c r="O529" s="2">
        <v>180</v>
      </c>
      <c r="P529" s="2">
        <v>1271</v>
      </c>
      <c r="Q529" s="13">
        <f t="shared" si="24"/>
        <v>0.36510398713087444</v>
      </c>
      <c r="R529" s="14">
        <f t="shared" si="25"/>
        <v>4752.2</v>
      </c>
      <c r="S529" s="15">
        <f t="shared" si="26"/>
        <v>5607.5959999999995</v>
      </c>
    </row>
    <row r="530" spans="1:19" x14ac:dyDescent="0.3">
      <c r="A530">
        <v>200010076</v>
      </c>
      <c r="B530">
        <v>273715040</v>
      </c>
      <c r="C530" s="11">
        <v>46230</v>
      </c>
      <c r="D530" s="1">
        <v>874440357245</v>
      </c>
      <c r="E530">
        <v>38273</v>
      </c>
      <c r="F530" t="s">
        <v>30</v>
      </c>
      <c r="G530" s="12">
        <v>11</v>
      </c>
      <c r="H530">
        <v>61</v>
      </c>
      <c r="I530">
        <v>32</v>
      </c>
      <c r="J530">
        <v>30</v>
      </c>
      <c r="K530" s="12">
        <v>11</v>
      </c>
      <c r="L530" t="s">
        <v>20</v>
      </c>
      <c r="M530" s="2">
        <v>4745.8</v>
      </c>
      <c r="N530" s="2">
        <v>726</v>
      </c>
      <c r="O530" s="2">
        <v>280</v>
      </c>
      <c r="P530" s="2">
        <v>2106.6</v>
      </c>
      <c r="Q530" s="13">
        <f t="shared" si="24"/>
        <v>0.36625056504050901</v>
      </c>
      <c r="R530" s="14">
        <f t="shared" si="25"/>
        <v>7858.4</v>
      </c>
      <c r="S530" s="15">
        <f t="shared" si="26"/>
        <v>9272.9119999999984</v>
      </c>
    </row>
    <row r="531" spans="1:19" x14ac:dyDescent="0.3">
      <c r="A531">
        <v>200010076</v>
      </c>
      <c r="B531">
        <v>273715040</v>
      </c>
      <c r="C531" s="11">
        <v>46230</v>
      </c>
      <c r="D531" s="1">
        <v>874440360220</v>
      </c>
      <c r="E531">
        <v>41510</v>
      </c>
      <c r="F531" t="s">
        <v>30</v>
      </c>
      <c r="G531" s="12">
        <v>14</v>
      </c>
      <c r="H531">
        <v>77</v>
      </c>
      <c r="I531">
        <v>32</v>
      </c>
      <c r="J531">
        <v>32</v>
      </c>
      <c r="K531" s="12">
        <v>14</v>
      </c>
      <c r="L531" t="s">
        <v>20</v>
      </c>
      <c r="M531" s="2">
        <v>5769.9</v>
      </c>
      <c r="N531" s="2">
        <v>924</v>
      </c>
      <c r="O531" s="2">
        <v>180</v>
      </c>
      <c r="P531" s="2">
        <v>2577.1999999999998</v>
      </c>
      <c r="Q531" s="13">
        <f t="shared" si="24"/>
        <v>0.37492544261627314</v>
      </c>
      <c r="R531" s="14">
        <f t="shared" si="25"/>
        <v>9451.0999999999985</v>
      </c>
      <c r="S531" s="15">
        <f t="shared" si="26"/>
        <v>11152.297999999997</v>
      </c>
    </row>
    <row r="532" spans="1:19" x14ac:dyDescent="0.3">
      <c r="A532">
        <v>200010076</v>
      </c>
      <c r="B532">
        <v>273715040</v>
      </c>
      <c r="C532" s="11">
        <v>46230</v>
      </c>
      <c r="D532" s="1">
        <v>874440365438</v>
      </c>
      <c r="E532">
        <v>41979</v>
      </c>
      <c r="F532" t="s">
        <v>30</v>
      </c>
      <c r="G532" s="12">
        <v>12</v>
      </c>
      <c r="H532">
        <v>68</v>
      </c>
      <c r="I532">
        <v>32</v>
      </c>
      <c r="J532">
        <v>31</v>
      </c>
      <c r="K532" s="12">
        <v>12</v>
      </c>
      <c r="L532" t="s">
        <v>20</v>
      </c>
      <c r="M532" s="2">
        <v>5087.1000000000004</v>
      </c>
      <c r="N532" s="2">
        <v>792</v>
      </c>
      <c r="O532" s="2">
        <v>180</v>
      </c>
      <c r="P532" s="2">
        <v>2263.5</v>
      </c>
      <c r="Q532" s="13">
        <f t="shared" si="24"/>
        <v>0.37357033222755853</v>
      </c>
      <c r="R532" s="14">
        <f t="shared" si="25"/>
        <v>8322.6</v>
      </c>
      <c r="S532" s="15">
        <f t="shared" si="26"/>
        <v>9820.6679999999997</v>
      </c>
    </row>
    <row r="533" spans="1:19" x14ac:dyDescent="0.3">
      <c r="A533">
        <v>200010076</v>
      </c>
      <c r="B533">
        <v>273715040</v>
      </c>
      <c r="C533" s="11">
        <v>46230</v>
      </c>
      <c r="D533" s="1">
        <v>874440373907</v>
      </c>
      <c r="E533">
        <v>42266</v>
      </c>
      <c r="F533" t="s">
        <v>30</v>
      </c>
      <c r="G533" s="12">
        <v>7</v>
      </c>
      <c r="H533">
        <v>62</v>
      </c>
      <c r="I533">
        <v>26</v>
      </c>
      <c r="J533">
        <v>25</v>
      </c>
      <c r="K533" s="12">
        <v>7</v>
      </c>
      <c r="L533" t="s">
        <v>20</v>
      </c>
      <c r="M533" s="2">
        <v>2839.2</v>
      </c>
      <c r="N533" s="2">
        <v>462</v>
      </c>
      <c r="O533" s="2">
        <v>180</v>
      </c>
      <c r="P533" s="2">
        <v>1271</v>
      </c>
      <c r="Q533" s="13">
        <f t="shared" si="24"/>
        <v>0.36510398713087444</v>
      </c>
      <c r="R533" s="14">
        <f t="shared" si="25"/>
        <v>4752.2</v>
      </c>
      <c r="S533" s="15">
        <f t="shared" si="26"/>
        <v>5607.5959999999995</v>
      </c>
    </row>
    <row r="534" spans="1:19" x14ac:dyDescent="0.3">
      <c r="A534">
        <v>200010076</v>
      </c>
      <c r="B534">
        <v>273715040</v>
      </c>
      <c r="C534" s="11">
        <v>46230</v>
      </c>
      <c r="D534" s="1">
        <v>874440383301</v>
      </c>
      <c r="E534">
        <v>39431</v>
      </c>
      <c r="F534" t="s">
        <v>30</v>
      </c>
      <c r="G534" s="12">
        <v>7.5</v>
      </c>
      <c r="H534">
        <v>53</v>
      </c>
      <c r="I534">
        <v>29</v>
      </c>
      <c r="J534">
        <v>28</v>
      </c>
      <c r="K534" s="12">
        <v>7.5</v>
      </c>
      <c r="L534" t="s">
        <v>20</v>
      </c>
      <c r="M534" s="2">
        <v>2954.2</v>
      </c>
      <c r="N534" s="2">
        <v>495</v>
      </c>
      <c r="O534" s="2">
        <v>180</v>
      </c>
      <c r="P534" s="2">
        <v>1327.9</v>
      </c>
      <c r="Q534" s="13">
        <f t="shared" si="24"/>
        <v>0.36589330982034612</v>
      </c>
      <c r="R534" s="14">
        <f t="shared" si="25"/>
        <v>4957.1000000000004</v>
      </c>
      <c r="S534" s="15">
        <f t="shared" si="26"/>
        <v>5849.3779999999997</v>
      </c>
    </row>
    <row r="535" spans="1:19" x14ac:dyDescent="0.3">
      <c r="A535">
        <v>200010076</v>
      </c>
      <c r="B535">
        <v>273715040</v>
      </c>
      <c r="C535" s="11">
        <v>46230</v>
      </c>
      <c r="D535" s="1">
        <v>874440388900</v>
      </c>
      <c r="E535">
        <v>40686</v>
      </c>
      <c r="F535" t="s">
        <v>30</v>
      </c>
      <c r="G535" s="12">
        <v>7.5</v>
      </c>
      <c r="H535">
        <v>65</v>
      </c>
      <c r="I535">
        <v>27</v>
      </c>
      <c r="J535">
        <v>24</v>
      </c>
      <c r="K535" s="12">
        <v>7.5</v>
      </c>
      <c r="L535" t="s">
        <v>20</v>
      </c>
      <c r="M535" s="2">
        <v>2954.2</v>
      </c>
      <c r="N535" s="2">
        <v>495</v>
      </c>
      <c r="O535" s="2">
        <v>180</v>
      </c>
      <c r="P535" s="2">
        <v>1327.9</v>
      </c>
      <c r="Q535" s="13">
        <f t="shared" si="24"/>
        <v>0.36589330982034612</v>
      </c>
      <c r="R535" s="14">
        <f t="shared" si="25"/>
        <v>4957.1000000000004</v>
      </c>
      <c r="S535" s="15">
        <f t="shared" si="26"/>
        <v>5849.3779999999997</v>
      </c>
    </row>
    <row r="536" spans="1:19" x14ac:dyDescent="0.3">
      <c r="A536">
        <v>200010076</v>
      </c>
      <c r="B536">
        <v>273715040</v>
      </c>
      <c r="C536" s="11">
        <v>46230</v>
      </c>
      <c r="D536" s="1">
        <v>874440409566</v>
      </c>
      <c r="E536">
        <v>38957</v>
      </c>
      <c r="F536" t="s">
        <v>30</v>
      </c>
      <c r="G536" s="12">
        <v>14</v>
      </c>
      <c r="H536">
        <v>65</v>
      </c>
      <c r="I536">
        <v>36</v>
      </c>
      <c r="J536">
        <v>35</v>
      </c>
      <c r="K536" s="12">
        <v>14</v>
      </c>
      <c r="L536" t="s">
        <v>20</v>
      </c>
      <c r="M536" s="2">
        <v>5769.9</v>
      </c>
      <c r="N536" s="2">
        <v>924</v>
      </c>
      <c r="O536" s="2">
        <v>180</v>
      </c>
      <c r="P536" s="2">
        <v>2577.1999999999998</v>
      </c>
      <c r="Q536" s="13">
        <f t="shared" si="24"/>
        <v>0.37492544261627314</v>
      </c>
      <c r="R536" s="14">
        <f t="shared" si="25"/>
        <v>9451.0999999999985</v>
      </c>
      <c r="S536" s="15">
        <f t="shared" si="26"/>
        <v>11152.297999999997</v>
      </c>
    </row>
    <row r="537" spans="1:19" x14ac:dyDescent="0.3">
      <c r="A537">
        <v>200010076</v>
      </c>
      <c r="B537">
        <v>273715040</v>
      </c>
      <c r="C537" s="11">
        <v>46230</v>
      </c>
      <c r="D537" s="1">
        <v>874440422611</v>
      </c>
      <c r="E537">
        <v>42305</v>
      </c>
      <c r="F537" t="s">
        <v>30</v>
      </c>
      <c r="G537" s="12">
        <v>9.5</v>
      </c>
      <c r="H537">
        <v>64</v>
      </c>
      <c r="I537">
        <v>30</v>
      </c>
      <c r="J537">
        <v>28</v>
      </c>
      <c r="K537" s="12">
        <v>9.5</v>
      </c>
      <c r="L537" t="s">
        <v>20</v>
      </c>
      <c r="M537" s="2">
        <v>3414.5</v>
      </c>
      <c r="N537" s="2">
        <v>627</v>
      </c>
      <c r="O537" s="2">
        <v>180</v>
      </c>
      <c r="P537" s="2">
        <v>1556</v>
      </c>
      <c r="Q537" s="13">
        <f t="shared" si="24"/>
        <v>0.36858936397015279</v>
      </c>
      <c r="R537" s="14">
        <f t="shared" si="25"/>
        <v>5777.5</v>
      </c>
      <c r="S537" s="15">
        <f t="shared" si="26"/>
        <v>6817.45</v>
      </c>
    </row>
    <row r="538" spans="1:19" x14ac:dyDescent="0.3">
      <c r="A538">
        <v>200010076</v>
      </c>
      <c r="B538">
        <v>273715040</v>
      </c>
      <c r="C538" s="11">
        <v>46230</v>
      </c>
      <c r="D538" s="1">
        <v>874440433354</v>
      </c>
      <c r="E538">
        <v>41995</v>
      </c>
      <c r="F538" t="s">
        <v>30</v>
      </c>
      <c r="G538" s="12">
        <v>9.5</v>
      </c>
      <c r="H538">
        <v>64</v>
      </c>
      <c r="I538">
        <v>29</v>
      </c>
      <c r="J538">
        <v>29</v>
      </c>
      <c r="K538" s="12">
        <v>9.5</v>
      </c>
      <c r="L538" t="s">
        <v>20</v>
      </c>
      <c r="M538" s="2">
        <v>3414.5</v>
      </c>
      <c r="N538" s="2">
        <v>627</v>
      </c>
      <c r="O538" s="2">
        <v>180</v>
      </c>
      <c r="P538" s="2">
        <v>1556</v>
      </c>
      <c r="Q538" s="13">
        <f t="shared" si="24"/>
        <v>0.36858936397015279</v>
      </c>
      <c r="R538" s="14">
        <f t="shared" si="25"/>
        <v>5777.5</v>
      </c>
      <c r="S538" s="15">
        <f t="shared" si="26"/>
        <v>6817.45</v>
      </c>
    </row>
    <row r="539" spans="1:19" x14ac:dyDescent="0.3">
      <c r="A539">
        <v>200010076</v>
      </c>
      <c r="B539">
        <v>273715040</v>
      </c>
      <c r="C539" s="11">
        <v>46230</v>
      </c>
      <c r="D539" s="1">
        <v>874440585972</v>
      </c>
      <c r="E539">
        <v>41960</v>
      </c>
      <c r="F539" t="s">
        <v>30</v>
      </c>
      <c r="G539" s="12">
        <v>4.08</v>
      </c>
      <c r="H539">
        <v>34</v>
      </c>
      <c r="I539">
        <v>22</v>
      </c>
      <c r="J539">
        <v>15</v>
      </c>
      <c r="K539" s="12">
        <v>4.0999999999999996</v>
      </c>
      <c r="L539" t="s">
        <v>20</v>
      </c>
      <c r="M539" s="2">
        <v>2658.6</v>
      </c>
      <c r="N539" s="2">
        <v>297</v>
      </c>
      <c r="O539" s="2">
        <v>180</v>
      </c>
      <c r="P539" s="2">
        <v>1137.9000000000001</v>
      </c>
      <c r="Q539" s="13">
        <f t="shared" si="24"/>
        <v>0.3628970531955607</v>
      </c>
      <c r="R539" s="14">
        <f t="shared" si="25"/>
        <v>4273.5</v>
      </c>
      <c r="S539" s="15">
        <f t="shared" si="26"/>
        <v>5042.7299999999996</v>
      </c>
    </row>
    <row r="540" spans="1:19" x14ac:dyDescent="0.3">
      <c r="A540">
        <v>200010076</v>
      </c>
      <c r="B540">
        <v>273715040</v>
      </c>
      <c r="C540" s="11">
        <v>46230</v>
      </c>
      <c r="D540" s="1">
        <v>874439796938</v>
      </c>
      <c r="E540">
        <v>42736</v>
      </c>
      <c r="F540" t="s">
        <v>30</v>
      </c>
      <c r="G540" s="12">
        <v>0.5</v>
      </c>
      <c r="K540" s="12">
        <v>0</v>
      </c>
      <c r="L540" t="s">
        <v>20</v>
      </c>
      <c r="M540" s="2">
        <v>1031.7</v>
      </c>
      <c r="N540" s="2">
        <v>42.5</v>
      </c>
      <c r="P540" s="2">
        <v>413.6</v>
      </c>
      <c r="Q540" s="13">
        <f t="shared" si="24"/>
        <v>0.38503072053621301</v>
      </c>
      <c r="R540" s="14">
        <f t="shared" si="25"/>
        <v>1487.8000000000002</v>
      </c>
      <c r="S540" s="15">
        <f t="shared" si="26"/>
        <v>1755.604</v>
      </c>
    </row>
    <row r="541" spans="1:19" x14ac:dyDescent="0.3">
      <c r="A541">
        <v>200010076</v>
      </c>
      <c r="B541">
        <v>273715040</v>
      </c>
      <c r="C541" s="11">
        <v>46230</v>
      </c>
      <c r="D541" s="1">
        <v>874439801724</v>
      </c>
      <c r="E541">
        <v>42895</v>
      </c>
      <c r="F541" t="s">
        <v>30</v>
      </c>
      <c r="G541" s="12">
        <v>0.5</v>
      </c>
      <c r="K541" s="12">
        <v>0</v>
      </c>
      <c r="L541" t="s">
        <v>20</v>
      </c>
      <c r="M541" s="2">
        <v>1031.7</v>
      </c>
      <c r="N541" s="2">
        <v>42.5</v>
      </c>
      <c r="P541" s="2">
        <v>413.6</v>
      </c>
      <c r="Q541" s="13">
        <f t="shared" si="24"/>
        <v>0.38503072053621301</v>
      </c>
      <c r="R541" s="14">
        <f t="shared" si="25"/>
        <v>1487.8000000000002</v>
      </c>
      <c r="S541" s="15">
        <f t="shared" si="26"/>
        <v>1755.604</v>
      </c>
    </row>
    <row r="542" spans="1:19" x14ac:dyDescent="0.3">
      <c r="A542">
        <v>200010076</v>
      </c>
      <c r="B542">
        <v>273715040</v>
      </c>
      <c r="C542" s="11">
        <v>46230</v>
      </c>
      <c r="D542" s="1">
        <v>874439806005</v>
      </c>
      <c r="E542">
        <v>42894</v>
      </c>
      <c r="F542" t="s">
        <v>30</v>
      </c>
      <c r="G542" s="12">
        <v>0.5</v>
      </c>
      <c r="K542" s="12">
        <v>0</v>
      </c>
      <c r="L542" t="s">
        <v>20</v>
      </c>
      <c r="M542" s="2">
        <v>1031.7</v>
      </c>
      <c r="N542" s="2">
        <v>42.5</v>
      </c>
      <c r="P542" s="2">
        <v>413.6</v>
      </c>
      <c r="Q542" s="13">
        <f t="shared" si="24"/>
        <v>0.38503072053621301</v>
      </c>
      <c r="R542" s="14">
        <f t="shared" si="25"/>
        <v>1487.8000000000002</v>
      </c>
      <c r="S542" s="15">
        <f t="shared" si="26"/>
        <v>1755.604</v>
      </c>
    </row>
    <row r="543" spans="1:19" x14ac:dyDescent="0.3">
      <c r="A543">
        <v>200010076</v>
      </c>
      <c r="B543">
        <v>273715040</v>
      </c>
      <c r="C543" s="11">
        <v>46230</v>
      </c>
      <c r="D543" s="1">
        <v>874439810166</v>
      </c>
      <c r="E543">
        <v>42879</v>
      </c>
      <c r="F543" t="s">
        <v>30</v>
      </c>
      <c r="G543" s="12">
        <v>0.5</v>
      </c>
      <c r="K543" s="12">
        <v>0</v>
      </c>
      <c r="L543" t="s">
        <v>20</v>
      </c>
      <c r="M543" s="2">
        <v>1031.7</v>
      </c>
      <c r="N543" s="2">
        <v>42.5</v>
      </c>
      <c r="P543" s="2">
        <v>413.6</v>
      </c>
      <c r="Q543" s="13">
        <f t="shared" si="24"/>
        <v>0.38503072053621301</v>
      </c>
      <c r="R543" s="14">
        <f t="shared" si="25"/>
        <v>1487.8000000000002</v>
      </c>
      <c r="S543" s="15">
        <f t="shared" si="26"/>
        <v>1755.604</v>
      </c>
    </row>
    <row r="544" spans="1:19" x14ac:dyDescent="0.3">
      <c r="A544">
        <v>200010076</v>
      </c>
      <c r="B544">
        <v>273715040</v>
      </c>
      <c r="C544" s="11">
        <v>46230</v>
      </c>
      <c r="D544" s="1">
        <v>874439816977</v>
      </c>
      <c r="E544">
        <v>42862</v>
      </c>
      <c r="F544" t="s">
        <v>30</v>
      </c>
      <c r="G544" s="12">
        <v>0.5</v>
      </c>
      <c r="K544" s="12">
        <v>0</v>
      </c>
      <c r="L544" t="s">
        <v>20</v>
      </c>
      <c r="M544" s="2">
        <v>1031.7</v>
      </c>
      <c r="N544" s="2">
        <v>42.5</v>
      </c>
      <c r="P544" s="2">
        <v>413.6</v>
      </c>
      <c r="Q544" s="13">
        <f t="shared" si="24"/>
        <v>0.38503072053621301</v>
      </c>
      <c r="R544" s="14">
        <f t="shared" si="25"/>
        <v>1487.8000000000002</v>
      </c>
      <c r="S544" s="15">
        <f t="shared" si="26"/>
        <v>1755.604</v>
      </c>
    </row>
    <row r="545" spans="1:19" x14ac:dyDescent="0.3">
      <c r="A545">
        <v>200010076</v>
      </c>
      <c r="B545">
        <v>273715040</v>
      </c>
      <c r="C545" s="11">
        <v>46230</v>
      </c>
      <c r="D545" s="1">
        <v>874439822023</v>
      </c>
      <c r="E545">
        <v>42799</v>
      </c>
      <c r="F545" t="s">
        <v>30</v>
      </c>
      <c r="G545" s="12">
        <v>0.5</v>
      </c>
      <c r="K545" s="12">
        <v>0</v>
      </c>
      <c r="L545" t="s">
        <v>20</v>
      </c>
      <c r="M545" s="2">
        <v>1031.7</v>
      </c>
      <c r="N545" s="2">
        <v>42.5</v>
      </c>
      <c r="P545" s="2">
        <v>413.6</v>
      </c>
      <c r="Q545" s="13">
        <f t="shared" si="24"/>
        <v>0.38503072053621301</v>
      </c>
      <c r="R545" s="14">
        <f t="shared" si="25"/>
        <v>1487.8000000000002</v>
      </c>
      <c r="S545" s="15">
        <f t="shared" si="26"/>
        <v>1755.604</v>
      </c>
    </row>
    <row r="546" spans="1:19" x14ac:dyDescent="0.3">
      <c r="A546">
        <v>200010076</v>
      </c>
      <c r="B546">
        <v>273715040</v>
      </c>
      <c r="C546" s="11">
        <v>46230</v>
      </c>
      <c r="D546" s="1">
        <v>874439825490</v>
      </c>
      <c r="E546">
        <v>42877</v>
      </c>
      <c r="F546" t="s">
        <v>30</v>
      </c>
      <c r="G546" s="12">
        <v>0.5</v>
      </c>
      <c r="K546" s="12">
        <v>0</v>
      </c>
      <c r="L546" t="s">
        <v>20</v>
      </c>
      <c r="M546" s="2">
        <v>1031.7</v>
      </c>
      <c r="N546" s="2">
        <v>42.5</v>
      </c>
      <c r="P546" s="2">
        <v>413.6</v>
      </c>
      <c r="Q546" s="13">
        <f t="shared" si="24"/>
        <v>0.38503072053621301</v>
      </c>
      <c r="R546" s="14">
        <f t="shared" si="25"/>
        <v>1487.8000000000002</v>
      </c>
      <c r="S546" s="15">
        <f t="shared" si="26"/>
        <v>1755.604</v>
      </c>
    </row>
    <row r="547" spans="1:19" x14ac:dyDescent="0.3">
      <c r="A547">
        <v>200010076</v>
      </c>
      <c r="B547">
        <v>273715040</v>
      </c>
      <c r="C547" s="11">
        <v>46230</v>
      </c>
      <c r="D547" s="1">
        <v>874439833502</v>
      </c>
      <c r="E547">
        <v>42909</v>
      </c>
      <c r="F547" t="s">
        <v>30</v>
      </c>
      <c r="G547" s="12">
        <v>0.5</v>
      </c>
      <c r="K547" s="12">
        <v>0</v>
      </c>
      <c r="L547" t="s">
        <v>20</v>
      </c>
      <c r="M547" s="2">
        <v>1031.7</v>
      </c>
      <c r="N547" s="2">
        <v>42.5</v>
      </c>
      <c r="P547" s="2">
        <v>413.6</v>
      </c>
      <c r="Q547" s="13">
        <f t="shared" si="24"/>
        <v>0.38503072053621301</v>
      </c>
      <c r="R547" s="14">
        <f t="shared" si="25"/>
        <v>1487.8000000000002</v>
      </c>
      <c r="S547" s="15">
        <f t="shared" si="26"/>
        <v>1755.604</v>
      </c>
    </row>
    <row r="548" spans="1:19" x14ac:dyDescent="0.3">
      <c r="A548">
        <v>200010076</v>
      </c>
      <c r="B548">
        <v>273715040</v>
      </c>
      <c r="C548" s="11">
        <v>46230</v>
      </c>
      <c r="D548" s="1">
        <v>874439838581</v>
      </c>
      <c r="E548">
        <v>42913</v>
      </c>
      <c r="F548" t="s">
        <v>30</v>
      </c>
      <c r="G548" s="12">
        <v>0.5</v>
      </c>
      <c r="K548" s="12">
        <v>0</v>
      </c>
      <c r="L548" t="s">
        <v>20</v>
      </c>
      <c r="M548" s="2">
        <v>1031.7</v>
      </c>
      <c r="N548" s="2">
        <v>42.5</v>
      </c>
      <c r="P548" s="2">
        <v>413.6</v>
      </c>
      <c r="Q548" s="13">
        <f t="shared" si="24"/>
        <v>0.38503072053621301</v>
      </c>
      <c r="R548" s="14">
        <f t="shared" si="25"/>
        <v>1487.8000000000002</v>
      </c>
      <c r="S548" s="15">
        <f t="shared" si="26"/>
        <v>1755.604</v>
      </c>
    </row>
    <row r="549" spans="1:19" x14ac:dyDescent="0.3">
      <c r="A549">
        <v>200010076</v>
      </c>
      <c r="B549">
        <v>273715040</v>
      </c>
      <c r="C549" s="11">
        <v>46230</v>
      </c>
      <c r="D549" s="1">
        <v>874439844360</v>
      </c>
      <c r="E549">
        <v>42911</v>
      </c>
      <c r="F549" t="s">
        <v>30</v>
      </c>
      <c r="G549" s="12">
        <v>0.5</v>
      </c>
      <c r="K549" s="12">
        <v>0</v>
      </c>
      <c r="L549" t="s">
        <v>20</v>
      </c>
      <c r="M549" s="2">
        <v>1031.7</v>
      </c>
      <c r="N549" s="2">
        <v>42.5</v>
      </c>
      <c r="P549" s="2">
        <v>413.6</v>
      </c>
      <c r="Q549" s="13">
        <f t="shared" si="24"/>
        <v>0.38503072053621301</v>
      </c>
      <c r="R549" s="14">
        <f t="shared" si="25"/>
        <v>1487.8000000000002</v>
      </c>
      <c r="S549" s="15">
        <f t="shared" si="26"/>
        <v>1755.604</v>
      </c>
    </row>
    <row r="550" spans="1:19" x14ac:dyDescent="0.3">
      <c r="A550">
        <v>200010076</v>
      </c>
      <c r="B550">
        <v>273715040</v>
      </c>
      <c r="C550" s="11">
        <v>46230</v>
      </c>
      <c r="D550" s="1">
        <v>874439848630</v>
      </c>
      <c r="E550">
        <v>42853</v>
      </c>
      <c r="F550" t="s">
        <v>30</v>
      </c>
      <c r="G550" s="12">
        <v>0.5</v>
      </c>
      <c r="K550" s="12">
        <v>0</v>
      </c>
      <c r="L550" t="s">
        <v>20</v>
      </c>
      <c r="M550" s="2">
        <v>1031.7</v>
      </c>
      <c r="N550" s="2">
        <v>42.5</v>
      </c>
      <c r="P550" s="2">
        <v>413.6</v>
      </c>
      <c r="Q550" s="13">
        <f t="shared" si="24"/>
        <v>0.38503072053621301</v>
      </c>
      <c r="R550" s="14">
        <f t="shared" si="25"/>
        <v>1487.8000000000002</v>
      </c>
      <c r="S550" s="15">
        <f t="shared" si="26"/>
        <v>1755.604</v>
      </c>
    </row>
    <row r="551" spans="1:19" x14ac:dyDescent="0.3">
      <c r="A551">
        <v>200010076</v>
      </c>
      <c r="B551">
        <v>273715040</v>
      </c>
      <c r="C551" s="11">
        <v>46230</v>
      </c>
      <c r="D551" s="1">
        <v>874439853055</v>
      </c>
      <c r="E551">
        <v>42053</v>
      </c>
      <c r="F551" t="s">
        <v>30</v>
      </c>
      <c r="G551" s="12">
        <v>0.5</v>
      </c>
      <c r="K551" s="12">
        <v>0</v>
      </c>
      <c r="L551" t="s">
        <v>20</v>
      </c>
      <c r="M551" s="2">
        <v>1031.7</v>
      </c>
      <c r="N551" s="2">
        <v>42.5</v>
      </c>
      <c r="P551" s="2">
        <v>413.6</v>
      </c>
      <c r="Q551" s="13">
        <f t="shared" si="24"/>
        <v>0.38503072053621301</v>
      </c>
      <c r="R551" s="14">
        <f t="shared" si="25"/>
        <v>1487.8000000000002</v>
      </c>
      <c r="S551" s="15">
        <f t="shared" si="26"/>
        <v>1755.604</v>
      </c>
    </row>
    <row r="552" spans="1:19" x14ac:dyDescent="0.3">
      <c r="A552">
        <v>200010076</v>
      </c>
      <c r="B552">
        <v>273715040</v>
      </c>
      <c r="C552" s="11">
        <v>46230</v>
      </c>
      <c r="D552" s="1">
        <v>874496958170</v>
      </c>
      <c r="E552">
        <v>4104050934</v>
      </c>
      <c r="F552" t="s">
        <v>32</v>
      </c>
      <c r="G552" s="12">
        <v>4</v>
      </c>
      <c r="H552">
        <v>50</v>
      </c>
      <c r="I552">
        <v>22</v>
      </c>
      <c r="J552">
        <v>19</v>
      </c>
      <c r="K552" s="12">
        <v>4</v>
      </c>
      <c r="L552" t="s">
        <v>20</v>
      </c>
      <c r="M552" s="2">
        <v>2490.6</v>
      </c>
      <c r="N552" s="2">
        <v>264</v>
      </c>
      <c r="O552" s="2">
        <v>180</v>
      </c>
      <c r="P552" s="2">
        <v>1060.5</v>
      </c>
      <c r="Q552" s="13">
        <f t="shared" si="24"/>
        <v>0.36137804130034756</v>
      </c>
      <c r="R552" s="14">
        <f t="shared" si="25"/>
        <v>3995.1</v>
      </c>
      <c r="S552" s="15">
        <f t="shared" si="26"/>
        <v>4714.2179999999998</v>
      </c>
    </row>
    <row r="553" spans="1:19" x14ac:dyDescent="0.3">
      <c r="A553">
        <v>200010076</v>
      </c>
      <c r="B553">
        <v>273715040</v>
      </c>
      <c r="C553" s="11">
        <v>46230</v>
      </c>
      <c r="D553" s="1">
        <v>874496970550</v>
      </c>
      <c r="E553">
        <v>41223</v>
      </c>
      <c r="F553" t="s">
        <v>32</v>
      </c>
      <c r="G553" s="12">
        <v>27</v>
      </c>
      <c r="H553">
        <v>49</v>
      </c>
      <c r="I553">
        <v>39</v>
      </c>
      <c r="J553">
        <v>36</v>
      </c>
      <c r="K553" s="12">
        <v>26.8</v>
      </c>
      <c r="L553" t="s">
        <v>20</v>
      </c>
      <c r="M553" s="2">
        <v>10665.4</v>
      </c>
      <c r="N553" s="2">
        <v>1782</v>
      </c>
      <c r="P553" s="2">
        <v>4792.3</v>
      </c>
      <c r="Q553" s="13">
        <f t="shared" si="24"/>
        <v>0.38500409724119095</v>
      </c>
      <c r="R553" s="14">
        <f t="shared" si="25"/>
        <v>17239.7</v>
      </c>
      <c r="S553" s="15">
        <f t="shared" si="26"/>
        <v>20342.846000000001</v>
      </c>
    </row>
    <row r="554" spans="1:19" x14ac:dyDescent="0.3">
      <c r="A554">
        <v>200010076</v>
      </c>
      <c r="B554">
        <v>273715040</v>
      </c>
      <c r="C554" s="11">
        <v>46230</v>
      </c>
      <c r="D554" s="1">
        <v>874496975118</v>
      </c>
      <c r="E554">
        <v>40974</v>
      </c>
      <c r="F554" t="s">
        <v>32</v>
      </c>
      <c r="G554" s="12">
        <v>32.5</v>
      </c>
      <c r="H554">
        <v>67</v>
      </c>
      <c r="I554">
        <v>38</v>
      </c>
      <c r="J554">
        <v>37</v>
      </c>
      <c r="K554" s="12">
        <v>32.5</v>
      </c>
      <c r="L554" t="s">
        <v>20</v>
      </c>
      <c r="M554" s="2">
        <v>12764.5</v>
      </c>
      <c r="N554" s="2">
        <v>2145</v>
      </c>
      <c r="P554" s="2">
        <v>5740.2</v>
      </c>
      <c r="Q554" s="13">
        <f t="shared" si="24"/>
        <v>0.38500285053154026</v>
      </c>
      <c r="R554" s="14">
        <f t="shared" si="25"/>
        <v>20649.7</v>
      </c>
      <c r="S554" s="15">
        <f t="shared" si="26"/>
        <v>24366.646000000001</v>
      </c>
    </row>
    <row r="555" spans="1:19" x14ac:dyDescent="0.3">
      <c r="A555">
        <v>200010076</v>
      </c>
      <c r="B555">
        <v>273712658</v>
      </c>
      <c r="C555" s="11">
        <v>46223</v>
      </c>
      <c r="D555" s="1">
        <v>873623180678</v>
      </c>
      <c r="E555">
        <v>40262</v>
      </c>
      <c r="F555" t="s">
        <v>33</v>
      </c>
      <c r="G555" s="12">
        <v>5</v>
      </c>
      <c r="H555">
        <v>48</v>
      </c>
      <c r="I555">
        <v>24</v>
      </c>
      <c r="J555">
        <v>23</v>
      </c>
      <c r="K555" s="12">
        <v>5</v>
      </c>
      <c r="L555" t="s">
        <v>20</v>
      </c>
      <c r="M555" s="3">
        <v>2231.6999999999998</v>
      </c>
      <c r="N555" s="3">
        <v>330</v>
      </c>
      <c r="O555"/>
      <c r="P555" s="3">
        <v>1063.0999999999999</v>
      </c>
      <c r="Q555" s="13">
        <f>+P555/SUM(M555:O555)</f>
        <v>0.41499785298824998</v>
      </c>
      <c r="R555" s="14">
        <f>SUM(M555:P555)</f>
        <v>3624.7999999999997</v>
      </c>
      <c r="S555" s="15">
        <f>+R555*1.18</f>
        <v>4277.2639999999992</v>
      </c>
    </row>
    <row r="556" spans="1:19" x14ac:dyDescent="0.3">
      <c r="A556">
        <v>200010076</v>
      </c>
      <c r="B556">
        <v>273712658</v>
      </c>
      <c r="C556" s="11">
        <v>46223</v>
      </c>
      <c r="D556" s="1">
        <v>873657181834</v>
      </c>
      <c r="E556">
        <v>41688</v>
      </c>
      <c r="F556" t="s">
        <v>34</v>
      </c>
      <c r="G556" s="12">
        <v>0.5</v>
      </c>
      <c r="K556" s="12">
        <v>0</v>
      </c>
      <c r="L556" t="s">
        <v>20</v>
      </c>
      <c r="M556" s="3">
        <v>1031.7</v>
      </c>
      <c r="N556" s="3">
        <v>42.5</v>
      </c>
      <c r="O556"/>
      <c r="P556" s="3">
        <v>413.6</v>
      </c>
      <c r="Q556" s="13">
        <f t="shared" ref="Q556:Q619" si="27">+P556/SUM(M556:O556)</f>
        <v>0.38503072053621301</v>
      </c>
      <c r="R556" s="14">
        <f t="shared" ref="R556:R619" si="28">SUM(M556:P556)</f>
        <v>1487.8000000000002</v>
      </c>
      <c r="S556" s="15">
        <f t="shared" ref="S556:S619" si="29">+R556*1.18</f>
        <v>1755.604</v>
      </c>
    </row>
    <row r="557" spans="1:19" x14ac:dyDescent="0.3">
      <c r="A557">
        <v>200010076</v>
      </c>
      <c r="B557">
        <v>273712658</v>
      </c>
      <c r="C557" s="11">
        <v>46223</v>
      </c>
      <c r="D557" s="1">
        <v>873720715240</v>
      </c>
      <c r="E557">
        <v>40285</v>
      </c>
      <c r="F557" t="s">
        <v>19</v>
      </c>
      <c r="G557" s="12">
        <v>10</v>
      </c>
      <c r="H557">
        <v>72</v>
      </c>
      <c r="I557">
        <v>28</v>
      </c>
      <c r="J557">
        <v>28</v>
      </c>
      <c r="K557" s="12">
        <v>10</v>
      </c>
      <c r="L557" t="s">
        <v>20</v>
      </c>
      <c r="M557" s="3">
        <v>3529.5</v>
      </c>
      <c r="N557" s="3">
        <v>660</v>
      </c>
      <c r="O557"/>
      <c r="P557" s="3">
        <v>1613</v>
      </c>
      <c r="Q557" s="13">
        <f t="shared" si="27"/>
        <v>0.38501014440864068</v>
      </c>
      <c r="R557" s="14">
        <f t="shared" si="28"/>
        <v>5802.5</v>
      </c>
      <c r="S557" s="15">
        <f t="shared" si="29"/>
        <v>6846.95</v>
      </c>
    </row>
    <row r="558" spans="1:19" x14ac:dyDescent="0.3">
      <c r="A558">
        <v>200010076</v>
      </c>
      <c r="B558">
        <v>273712658</v>
      </c>
      <c r="C558" s="11">
        <v>46223</v>
      </c>
      <c r="D558" s="1">
        <v>873720808505</v>
      </c>
      <c r="E558">
        <v>39916</v>
      </c>
      <c r="F558" t="s">
        <v>19</v>
      </c>
      <c r="G558" s="12">
        <v>8.5</v>
      </c>
      <c r="H558">
        <v>58</v>
      </c>
      <c r="I558">
        <v>31</v>
      </c>
      <c r="J558">
        <v>27</v>
      </c>
      <c r="K558" s="12">
        <v>8.5</v>
      </c>
      <c r="L558" t="s">
        <v>20</v>
      </c>
      <c r="M558" s="3">
        <v>3184.4</v>
      </c>
      <c r="N558" s="3">
        <v>561</v>
      </c>
      <c r="O558"/>
      <c r="P558" s="3">
        <v>1442</v>
      </c>
      <c r="Q558" s="13">
        <f t="shared" si="27"/>
        <v>0.38500560687777008</v>
      </c>
      <c r="R558" s="14">
        <f t="shared" si="28"/>
        <v>5187.3999999999996</v>
      </c>
      <c r="S558" s="15">
        <f t="shared" si="29"/>
        <v>6121.1319999999996</v>
      </c>
    </row>
    <row r="559" spans="1:19" x14ac:dyDescent="0.3">
      <c r="A559">
        <v>200010076</v>
      </c>
      <c r="B559">
        <v>273712658</v>
      </c>
      <c r="C559" s="11">
        <v>46223</v>
      </c>
      <c r="D559" s="1">
        <v>873720811626</v>
      </c>
      <c r="E559">
        <v>40134</v>
      </c>
      <c r="F559" t="s">
        <v>19</v>
      </c>
      <c r="G559" s="12">
        <v>9</v>
      </c>
      <c r="H559">
        <v>84</v>
      </c>
      <c r="I559">
        <v>26</v>
      </c>
      <c r="J559">
        <v>24</v>
      </c>
      <c r="K559" s="12">
        <v>9</v>
      </c>
      <c r="L559" t="s">
        <v>20</v>
      </c>
      <c r="M559" s="3">
        <v>3299.4</v>
      </c>
      <c r="N559" s="3">
        <v>594</v>
      </c>
      <c r="O559"/>
      <c r="P559" s="3">
        <v>1499</v>
      </c>
      <c r="Q559" s="13">
        <f t="shared" si="27"/>
        <v>0.38501053064159857</v>
      </c>
      <c r="R559" s="14">
        <f t="shared" si="28"/>
        <v>5392.4</v>
      </c>
      <c r="S559" s="15">
        <f t="shared" si="29"/>
        <v>6363.0319999999992</v>
      </c>
    </row>
    <row r="560" spans="1:19" x14ac:dyDescent="0.3">
      <c r="A560">
        <v>200010076</v>
      </c>
      <c r="B560">
        <v>273712658</v>
      </c>
      <c r="C560" s="11">
        <v>46223</v>
      </c>
      <c r="D560" s="1">
        <v>873720937960</v>
      </c>
      <c r="E560">
        <v>41786</v>
      </c>
      <c r="F560" t="s">
        <v>19</v>
      </c>
      <c r="G560" s="12">
        <v>0.5</v>
      </c>
      <c r="K560" s="12">
        <v>0</v>
      </c>
      <c r="L560" t="s">
        <v>20</v>
      </c>
      <c r="M560" s="3">
        <v>1031.7</v>
      </c>
      <c r="N560" s="3">
        <v>42.5</v>
      </c>
      <c r="O560"/>
      <c r="P560" s="3">
        <v>413.6</v>
      </c>
      <c r="Q560" s="13">
        <f t="shared" si="27"/>
        <v>0.38503072053621301</v>
      </c>
      <c r="R560" s="14">
        <f t="shared" si="28"/>
        <v>1487.8000000000002</v>
      </c>
      <c r="S560" s="15">
        <f t="shared" si="29"/>
        <v>1755.604</v>
      </c>
    </row>
    <row r="561" spans="1:19" x14ac:dyDescent="0.3">
      <c r="A561">
        <v>200010076</v>
      </c>
      <c r="B561">
        <v>273712658</v>
      </c>
      <c r="C561" s="11">
        <v>46223</v>
      </c>
      <c r="D561" s="1">
        <v>873777888990</v>
      </c>
      <c r="E561">
        <v>41468</v>
      </c>
      <c r="F561" t="s">
        <v>35</v>
      </c>
      <c r="G561" s="12">
        <v>7.5</v>
      </c>
      <c r="H561">
        <v>72</v>
      </c>
      <c r="I561">
        <v>24</v>
      </c>
      <c r="J561">
        <v>24</v>
      </c>
      <c r="K561" s="12">
        <v>7.5</v>
      </c>
      <c r="L561" t="s">
        <v>20</v>
      </c>
      <c r="M561" s="3">
        <v>2954.2</v>
      </c>
      <c r="N561" s="3">
        <v>495</v>
      </c>
      <c r="O561"/>
      <c r="P561" s="3">
        <v>1327.9</v>
      </c>
      <c r="Q561" s="13">
        <f t="shared" si="27"/>
        <v>0.38498782326336545</v>
      </c>
      <c r="R561" s="14">
        <f t="shared" si="28"/>
        <v>4777.1000000000004</v>
      </c>
      <c r="S561" s="15">
        <f t="shared" si="29"/>
        <v>5636.9780000000001</v>
      </c>
    </row>
    <row r="562" spans="1:19" x14ac:dyDescent="0.3">
      <c r="A562">
        <v>200010076</v>
      </c>
      <c r="B562">
        <v>273712658</v>
      </c>
      <c r="C562" s="11">
        <v>46223</v>
      </c>
      <c r="D562" s="1">
        <v>873777891048</v>
      </c>
      <c r="E562">
        <v>40000</v>
      </c>
      <c r="F562" t="s">
        <v>35</v>
      </c>
      <c r="G562" s="12">
        <v>6.5</v>
      </c>
      <c r="H562">
        <v>48</v>
      </c>
      <c r="I562">
        <v>30</v>
      </c>
      <c r="J562">
        <v>26</v>
      </c>
      <c r="K562" s="12">
        <v>6.5</v>
      </c>
      <c r="L562" t="s">
        <v>20</v>
      </c>
      <c r="M562" s="3">
        <v>2724.1</v>
      </c>
      <c r="N562" s="3">
        <v>429</v>
      </c>
      <c r="O562"/>
      <c r="P562" s="3">
        <v>1213.9000000000001</v>
      </c>
      <c r="Q562" s="13">
        <f t="shared" si="27"/>
        <v>0.38498620405315409</v>
      </c>
      <c r="R562" s="14">
        <f t="shared" si="28"/>
        <v>4367</v>
      </c>
      <c r="S562" s="15">
        <f t="shared" si="29"/>
        <v>5153.0599999999995</v>
      </c>
    </row>
    <row r="563" spans="1:19" x14ac:dyDescent="0.3">
      <c r="A563">
        <v>200010076</v>
      </c>
      <c r="B563">
        <v>273712658</v>
      </c>
      <c r="C563" s="11">
        <v>46223</v>
      </c>
      <c r="D563" s="1">
        <v>873778013004</v>
      </c>
      <c r="E563">
        <v>40979</v>
      </c>
      <c r="F563" t="s">
        <v>35</v>
      </c>
      <c r="G563" s="12">
        <v>7</v>
      </c>
      <c r="H563">
        <v>51</v>
      </c>
      <c r="I563">
        <v>27</v>
      </c>
      <c r="J563">
        <v>27</v>
      </c>
      <c r="K563" s="12">
        <v>7</v>
      </c>
      <c r="L563" t="s">
        <v>20</v>
      </c>
      <c r="M563" s="3">
        <v>2839.2</v>
      </c>
      <c r="N563" s="3">
        <v>462</v>
      </c>
      <c r="O563"/>
      <c r="P563" s="3">
        <v>1271</v>
      </c>
      <c r="Q563" s="13">
        <f t="shared" si="27"/>
        <v>0.38501151096570946</v>
      </c>
      <c r="R563" s="14">
        <f t="shared" si="28"/>
        <v>4572.2</v>
      </c>
      <c r="S563" s="15">
        <f t="shared" si="29"/>
        <v>5395.1959999999999</v>
      </c>
    </row>
    <row r="564" spans="1:19" x14ac:dyDescent="0.3">
      <c r="A564">
        <v>200010076</v>
      </c>
      <c r="B564">
        <v>273712658</v>
      </c>
      <c r="C564" s="11">
        <v>46223</v>
      </c>
      <c r="D564" s="1">
        <v>873833286826</v>
      </c>
      <c r="E564">
        <v>4083395477</v>
      </c>
      <c r="F564" t="s">
        <v>36</v>
      </c>
      <c r="G564" s="12">
        <v>4</v>
      </c>
      <c r="H564">
        <v>54</v>
      </c>
      <c r="I564">
        <v>21</v>
      </c>
      <c r="J564">
        <v>20</v>
      </c>
      <c r="K564" s="12">
        <v>4</v>
      </c>
      <c r="L564" t="s">
        <v>20</v>
      </c>
      <c r="M564" s="3">
        <v>2882.4</v>
      </c>
      <c r="N564" s="3">
        <v>0</v>
      </c>
      <c r="O564"/>
      <c r="P564" s="3">
        <v>1109.7</v>
      </c>
      <c r="Q564" s="13">
        <f t="shared" si="27"/>
        <v>0.38499167360532888</v>
      </c>
      <c r="R564" s="14">
        <f t="shared" si="28"/>
        <v>3992.1000000000004</v>
      </c>
      <c r="S564" s="15">
        <f t="shared" si="29"/>
        <v>4710.6779999999999</v>
      </c>
    </row>
    <row r="565" spans="1:19" x14ac:dyDescent="0.3">
      <c r="A565">
        <v>200010076</v>
      </c>
      <c r="B565">
        <v>273712658</v>
      </c>
      <c r="C565" s="11">
        <v>46223</v>
      </c>
      <c r="D565" s="1">
        <v>873833233101</v>
      </c>
      <c r="E565">
        <v>42021</v>
      </c>
      <c r="F565" t="s">
        <v>36</v>
      </c>
      <c r="G565" s="12">
        <v>0.5</v>
      </c>
      <c r="K565" s="12">
        <v>0</v>
      </c>
      <c r="L565" t="s">
        <v>20</v>
      </c>
      <c r="M565" s="3">
        <v>1031.7</v>
      </c>
      <c r="N565" s="3">
        <v>42.5</v>
      </c>
      <c r="O565"/>
      <c r="P565" s="3">
        <v>413.6</v>
      </c>
      <c r="Q565" s="13">
        <f t="shared" si="27"/>
        <v>0.38503072053621301</v>
      </c>
      <c r="R565" s="14">
        <f t="shared" si="28"/>
        <v>1487.8000000000002</v>
      </c>
      <c r="S565" s="15">
        <f t="shared" si="29"/>
        <v>1755.604</v>
      </c>
    </row>
    <row r="566" spans="1:19" x14ac:dyDescent="0.3">
      <c r="A566">
        <v>200010076</v>
      </c>
      <c r="B566">
        <v>273712658</v>
      </c>
      <c r="C566" s="11">
        <v>46223</v>
      </c>
      <c r="D566" s="1">
        <v>873833240364</v>
      </c>
      <c r="E566">
        <v>41992</v>
      </c>
      <c r="F566" t="s">
        <v>36</v>
      </c>
      <c r="G566" s="12">
        <v>0.5</v>
      </c>
      <c r="K566" s="12">
        <v>0</v>
      </c>
      <c r="L566" t="s">
        <v>20</v>
      </c>
      <c r="M566" s="3">
        <v>1031.7</v>
      </c>
      <c r="N566" s="3">
        <v>42.5</v>
      </c>
      <c r="O566"/>
      <c r="P566" s="3">
        <v>413.6</v>
      </c>
      <c r="Q566" s="13">
        <f t="shared" si="27"/>
        <v>0.38503072053621301</v>
      </c>
      <c r="R566" s="14">
        <f t="shared" si="28"/>
        <v>1487.8000000000002</v>
      </c>
      <c r="S566" s="15">
        <f t="shared" si="29"/>
        <v>1755.604</v>
      </c>
    </row>
    <row r="567" spans="1:19" x14ac:dyDescent="0.3">
      <c r="A567">
        <v>200010076</v>
      </c>
      <c r="B567">
        <v>273712658</v>
      </c>
      <c r="C567" s="11">
        <v>46223</v>
      </c>
      <c r="D567" s="1">
        <v>873888087374</v>
      </c>
      <c r="E567">
        <v>40605</v>
      </c>
      <c r="F567" t="s">
        <v>21</v>
      </c>
      <c r="G567" s="12">
        <v>2.13</v>
      </c>
      <c r="H567">
        <v>51</v>
      </c>
      <c r="I567">
        <v>20</v>
      </c>
      <c r="J567">
        <v>19</v>
      </c>
      <c r="K567" s="12">
        <v>3.2</v>
      </c>
      <c r="L567" t="s">
        <v>20</v>
      </c>
      <c r="M567" s="3">
        <v>1833.3</v>
      </c>
      <c r="N567" s="3">
        <v>231</v>
      </c>
      <c r="O567"/>
      <c r="P567" s="3">
        <v>794.8</v>
      </c>
      <c r="Q567" s="13">
        <f t="shared" si="27"/>
        <v>0.38502155694424256</v>
      </c>
      <c r="R567" s="14">
        <f t="shared" si="28"/>
        <v>2859.1000000000004</v>
      </c>
      <c r="S567" s="15">
        <f t="shared" si="29"/>
        <v>3373.7380000000003</v>
      </c>
    </row>
    <row r="568" spans="1:19" x14ac:dyDescent="0.3">
      <c r="A568">
        <v>200010076</v>
      </c>
      <c r="B568">
        <v>273712658</v>
      </c>
      <c r="C568" s="11">
        <v>46223</v>
      </c>
      <c r="D568" s="1">
        <v>873888088212</v>
      </c>
      <c r="E568">
        <v>41049</v>
      </c>
      <c r="F568" t="s">
        <v>21</v>
      </c>
      <c r="G568" s="12">
        <v>5</v>
      </c>
      <c r="H568">
        <v>73</v>
      </c>
      <c r="I568">
        <v>20</v>
      </c>
      <c r="J568">
        <v>20</v>
      </c>
      <c r="K568" s="12">
        <v>5</v>
      </c>
      <c r="L568" t="s">
        <v>20</v>
      </c>
      <c r="M568" s="3">
        <v>2231.6999999999998</v>
      </c>
      <c r="N568" s="3">
        <v>330</v>
      </c>
      <c r="O568"/>
      <c r="P568" s="3">
        <v>986.3</v>
      </c>
      <c r="Q568" s="13">
        <f t="shared" si="27"/>
        <v>0.38501776164265916</v>
      </c>
      <c r="R568" s="14">
        <f t="shared" si="28"/>
        <v>3548</v>
      </c>
      <c r="S568" s="15">
        <f t="shared" si="29"/>
        <v>4186.6399999999994</v>
      </c>
    </row>
    <row r="569" spans="1:19" x14ac:dyDescent="0.3">
      <c r="A569">
        <v>200010076</v>
      </c>
      <c r="B569">
        <v>273712658</v>
      </c>
      <c r="C569" s="11">
        <v>46223</v>
      </c>
      <c r="D569" s="1">
        <v>873888088554</v>
      </c>
      <c r="E569">
        <v>39848</v>
      </c>
      <c r="F569" t="s">
        <v>21</v>
      </c>
      <c r="G569" s="12">
        <v>21.5</v>
      </c>
      <c r="H569">
        <v>87</v>
      </c>
      <c r="I569">
        <v>40</v>
      </c>
      <c r="J569">
        <v>36</v>
      </c>
      <c r="K569" s="12">
        <v>21.5</v>
      </c>
      <c r="L569" t="s">
        <v>20</v>
      </c>
      <c r="M569" s="3">
        <v>8566.2000000000007</v>
      </c>
      <c r="N569" s="3">
        <v>1419</v>
      </c>
      <c r="O569"/>
      <c r="P569" s="3">
        <v>3844.3</v>
      </c>
      <c r="Q569" s="13">
        <f t="shared" si="27"/>
        <v>0.38499979970356124</v>
      </c>
      <c r="R569" s="14">
        <f t="shared" si="28"/>
        <v>13829.5</v>
      </c>
      <c r="S569" s="15">
        <f t="shared" si="29"/>
        <v>16318.81</v>
      </c>
    </row>
    <row r="570" spans="1:19" x14ac:dyDescent="0.3">
      <c r="A570">
        <v>200010076</v>
      </c>
      <c r="B570">
        <v>273712658</v>
      </c>
      <c r="C570" s="11">
        <v>46223</v>
      </c>
      <c r="D570" s="1">
        <v>873888097397</v>
      </c>
      <c r="E570">
        <v>41379</v>
      </c>
      <c r="F570" t="s">
        <v>21</v>
      </c>
      <c r="G570" s="12">
        <v>2.5</v>
      </c>
      <c r="H570">
        <v>39</v>
      </c>
      <c r="I570">
        <v>20</v>
      </c>
      <c r="J570">
        <v>18</v>
      </c>
      <c r="K570" s="12">
        <v>2.5</v>
      </c>
      <c r="L570" t="s">
        <v>20</v>
      </c>
      <c r="M570" s="3">
        <v>1671.3</v>
      </c>
      <c r="N570" s="3">
        <v>165</v>
      </c>
      <c r="O570"/>
      <c r="P570" s="3">
        <v>707</v>
      </c>
      <c r="Q570" s="13">
        <f t="shared" si="27"/>
        <v>0.38501334204650656</v>
      </c>
      <c r="R570" s="14">
        <f t="shared" si="28"/>
        <v>2543.3000000000002</v>
      </c>
      <c r="S570" s="15">
        <f t="shared" si="29"/>
        <v>3001.0940000000001</v>
      </c>
    </row>
    <row r="571" spans="1:19" x14ac:dyDescent="0.3">
      <c r="A571">
        <v>200010076</v>
      </c>
      <c r="B571">
        <v>273712658</v>
      </c>
      <c r="C571" s="11">
        <v>46223</v>
      </c>
      <c r="D571" s="1">
        <v>873888106075</v>
      </c>
      <c r="E571">
        <v>40252</v>
      </c>
      <c r="F571" t="s">
        <v>21</v>
      </c>
      <c r="G571" s="12">
        <v>3.54</v>
      </c>
      <c r="H571">
        <v>41</v>
      </c>
      <c r="I571">
        <v>31</v>
      </c>
      <c r="J571">
        <v>18</v>
      </c>
      <c r="K571" s="12">
        <v>3.8</v>
      </c>
      <c r="L571" t="s">
        <v>20</v>
      </c>
      <c r="M571" s="3">
        <v>1966.1</v>
      </c>
      <c r="N571" s="3">
        <v>264</v>
      </c>
      <c r="O571"/>
      <c r="P571" s="3">
        <v>858.6</v>
      </c>
      <c r="Q571" s="13">
        <f t="shared" si="27"/>
        <v>0.38500515671942964</v>
      </c>
      <c r="R571" s="14">
        <f t="shared" si="28"/>
        <v>3088.7</v>
      </c>
      <c r="S571" s="15">
        <f t="shared" si="29"/>
        <v>3644.6659999999997</v>
      </c>
    </row>
    <row r="572" spans="1:19" x14ac:dyDescent="0.3">
      <c r="A572">
        <v>200010076</v>
      </c>
      <c r="B572">
        <v>273712658</v>
      </c>
      <c r="C572" s="11">
        <v>46223</v>
      </c>
      <c r="D572" s="1">
        <v>873888107509</v>
      </c>
      <c r="E572">
        <v>4092188300</v>
      </c>
      <c r="F572" t="s">
        <v>21</v>
      </c>
      <c r="G572" s="12">
        <v>4.5</v>
      </c>
      <c r="H572">
        <v>56</v>
      </c>
      <c r="I572">
        <v>22</v>
      </c>
      <c r="J572">
        <v>20</v>
      </c>
      <c r="K572" s="12">
        <v>4.5</v>
      </c>
      <c r="L572" t="s">
        <v>20</v>
      </c>
      <c r="M572" s="3">
        <v>2098.9</v>
      </c>
      <c r="N572" s="3">
        <v>297</v>
      </c>
      <c r="O572"/>
      <c r="P572" s="3">
        <v>922.4</v>
      </c>
      <c r="Q572" s="13">
        <f t="shared" si="27"/>
        <v>0.38499102633665844</v>
      </c>
      <c r="R572" s="14">
        <f t="shared" si="28"/>
        <v>3318.3</v>
      </c>
      <c r="S572" s="15">
        <f t="shared" si="29"/>
        <v>3915.5940000000001</v>
      </c>
    </row>
    <row r="573" spans="1:19" x14ac:dyDescent="0.3">
      <c r="A573">
        <v>200010076</v>
      </c>
      <c r="B573">
        <v>273712658</v>
      </c>
      <c r="C573" s="11">
        <v>46223</v>
      </c>
      <c r="D573" s="1">
        <v>873888112611</v>
      </c>
      <c r="E573">
        <v>41687</v>
      </c>
      <c r="F573" t="s">
        <v>21</v>
      </c>
      <c r="G573" s="12">
        <v>2</v>
      </c>
      <c r="H573">
        <v>51</v>
      </c>
      <c r="I573">
        <v>31</v>
      </c>
      <c r="J573">
        <v>16</v>
      </c>
      <c r="K573" s="12">
        <v>4.2</v>
      </c>
      <c r="L573" t="s">
        <v>20</v>
      </c>
      <c r="M573" s="3">
        <v>2098.9</v>
      </c>
      <c r="N573" s="3">
        <v>297</v>
      </c>
      <c r="O573"/>
      <c r="P573" s="3">
        <v>922.4</v>
      </c>
      <c r="Q573" s="13">
        <f t="shared" si="27"/>
        <v>0.38499102633665844</v>
      </c>
      <c r="R573" s="14">
        <f t="shared" si="28"/>
        <v>3318.3</v>
      </c>
      <c r="S573" s="15">
        <f t="shared" si="29"/>
        <v>3915.5940000000001</v>
      </c>
    </row>
    <row r="574" spans="1:19" x14ac:dyDescent="0.3">
      <c r="A574">
        <v>200010076</v>
      </c>
      <c r="B574">
        <v>273712658</v>
      </c>
      <c r="C574" s="11">
        <v>46223</v>
      </c>
      <c r="D574" s="1">
        <v>873888121800</v>
      </c>
      <c r="E574">
        <v>36338</v>
      </c>
      <c r="F574" t="s">
        <v>21</v>
      </c>
      <c r="G574" s="12">
        <v>4</v>
      </c>
      <c r="H574">
        <v>41</v>
      </c>
      <c r="I574">
        <v>24</v>
      </c>
      <c r="J574">
        <v>23</v>
      </c>
      <c r="K574" s="12">
        <v>4</v>
      </c>
      <c r="L574" t="s">
        <v>20</v>
      </c>
      <c r="M574" s="3">
        <v>1966.1</v>
      </c>
      <c r="N574" s="3">
        <v>264</v>
      </c>
      <c r="O574"/>
      <c r="P574" s="3">
        <v>858.6</v>
      </c>
      <c r="Q574" s="13">
        <f t="shared" si="27"/>
        <v>0.38500515671942964</v>
      </c>
      <c r="R574" s="14">
        <f t="shared" si="28"/>
        <v>3088.7</v>
      </c>
      <c r="S574" s="15">
        <f t="shared" si="29"/>
        <v>3644.6659999999997</v>
      </c>
    </row>
    <row r="575" spans="1:19" x14ac:dyDescent="0.3">
      <c r="A575">
        <v>200010076</v>
      </c>
      <c r="B575">
        <v>273712658</v>
      </c>
      <c r="C575" s="11">
        <v>46223</v>
      </c>
      <c r="D575" s="1">
        <v>873888123090</v>
      </c>
      <c r="E575">
        <v>39148</v>
      </c>
      <c r="F575" t="s">
        <v>21</v>
      </c>
      <c r="G575" s="12">
        <v>3.5</v>
      </c>
      <c r="H575">
        <v>90</v>
      </c>
      <c r="I575">
        <v>15</v>
      </c>
      <c r="J575">
        <v>14</v>
      </c>
      <c r="K575" s="12">
        <v>3.5</v>
      </c>
      <c r="L575" t="s">
        <v>20</v>
      </c>
      <c r="M575" s="3">
        <v>1833.3</v>
      </c>
      <c r="N575" s="3">
        <v>231</v>
      </c>
      <c r="O575"/>
      <c r="P575" s="3">
        <v>794.8</v>
      </c>
      <c r="Q575" s="13">
        <f t="shared" si="27"/>
        <v>0.38502155694424256</v>
      </c>
      <c r="R575" s="14">
        <f t="shared" si="28"/>
        <v>2859.1000000000004</v>
      </c>
      <c r="S575" s="15">
        <f t="shared" si="29"/>
        <v>3373.7380000000003</v>
      </c>
    </row>
    <row r="576" spans="1:19" x14ac:dyDescent="0.3">
      <c r="A576">
        <v>200010076</v>
      </c>
      <c r="B576">
        <v>273712658</v>
      </c>
      <c r="C576" s="11">
        <v>46223</v>
      </c>
      <c r="D576" s="1">
        <v>873888127224</v>
      </c>
      <c r="E576">
        <v>41741</v>
      </c>
      <c r="F576" t="s">
        <v>21</v>
      </c>
      <c r="G576" s="12">
        <v>9.5</v>
      </c>
      <c r="H576">
        <v>64</v>
      </c>
      <c r="I576">
        <v>29</v>
      </c>
      <c r="J576">
        <v>29</v>
      </c>
      <c r="K576" s="12">
        <v>9.5</v>
      </c>
      <c r="L576" t="s">
        <v>20</v>
      </c>
      <c r="M576" s="3">
        <v>3414.5</v>
      </c>
      <c r="N576" s="3">
        <v>627</v>
      </c>
      <c r="O576"/>
      <c r="P576" s="3">
        <v>1556</v>
      </c>
      <c r="Q576" s="13">
        <f t="shared" si="27"/>
        <v>0.38500556723988616</v>
      </c>
      <c r="R576" s="14">
        <f t="shared" si="28"/>
        <v>5597.5</v>
      </c>
      <c r="S576" s="15">
        <f t="shared" si="29"/>
        <v>6605.0499999999993</v>
      </c>
    </row>
    <row r="577" spans="1:19" x14ac:dyDescent="0.3">
      <c r="A577">
        <v>200010076</v>
      </c>
      <c r="B577">
        <v>273712658</v>
      </c>
      <c r="C577" s="11">
        <v>46223</v>
      </c>
      <c r="D577" s="1">
        <v>873888131363</v>
      </c>
      <c r="E577">
        <v>41513</v>
      </c>
      <c r="F577" t="s">
        <v>21</v>
      </c>
      <c r="G577" s="12">
        <v>5</v>
      </c>
      <c r="H577">
        <v>63</v>
      </c>
      <c r="I577">
        <v>21</v>
      </c>
      <c r="J577">
        <v>20</v>
      </c>
      <c r="K577" s="12">
        <v>5</v>
      </c>
      <c r="L577" t="s">
        <v>20</v>
      </c>
      <c r="M577" s="3">
        <v>2231.6999999999998</v>
      </c>
      <c r="N577" s="3">
        <v>330</v>
      </c>
      <c r="O577"/>
      <c r="P577" s="3">
        <v>986.3</v>
      </c>
      <c r="Q577" s="13">
        <f t="shared" si="27"/>
        <v>0.38501776164265916</v>
      </c>
      <c r="R577" s="14">
        <f t="shared" si="28"/>
        <v>3548</v>
      </c>
      <c r="S577" s="15">
        <f t="shared" si="29"/>
        <v>4186.6399999999994</v>
      </c>
    </row>
    <row r="578" spans="1:19" x14ac:dyDescent="0.3">
      <c r="A578">
        <v>200010076</v>
      </c>
      <c r="B578">
        <v>273712658</v>
      </c>
      <c r="C578" s="11">
        <v>46223</v>
      </c>
      <c r="D578" s="1">
        <v>873888131606</v>
      </c>
      <c r="E578">
        <v>39970</v>
      </c>
      <c r="F578" t="s">
        <v>21</v>
      </c>
      <c r="G578" s="12">
        <v>15</v>
      </c>
      <c r="H578">
        <v>52</v>
      </c>
      <c r="I578">
        <v>42</v>
      </c>
      <c r="J578">
        <v>40</v>
      </c>
      <c r="K578" s="12">
        <v>15</v>
      </c>
      <c r="L578" t="s">
        <v>20</v>
      </c>
      <c r="M578" s="3">
        <v>6111.3</v>
      </c>
      <c r="N578" s="3">
        <v>990</v>
      </c>
      <c r="O578"/>
      <c r="P578" s="3">
        <v>2734</v>
      </c>
      <c r="Q578" s="13">
        <f t="shared" si="27"/>
        <v>0.38499992959035667</v>
      </c>
      <c r="R578" s="14">
        <f t="shared" si="28"/>
        <v>9835.2999999999993</v>
      </c>
      <c r="S578" s="15">
        <f t="shared" si="29"/>
        <v>11605.653999999999</v>
      </c>
    </row>
    <row r="579" spans="1:19" x14ac:dyDescent="0.3">
      <c r="A579">
        <v>200010076</v>
      </c>
      <c r="B579">
        <v>273712658</v>
      </c>
      <c r="C579" s="11">
        <v>46223</v>
      </c>
      <c r="D579" s="1">
        <v>873888131981</v>
      </c>
      <c r="E579">
        <v>38002</v>
      </c>
      <c r="F579" t="s">
        <v>21</v>
      </c>
      <c r="G579" s="12">
        <v>5</v>
      </c>
      <c r="H579">
        <v>56</v>
      </c>
      <c r="I579">
        <v>24</v>
      </c>
      <c r="J579">
        <v>21</v>
      </c>
      <c r="K579" s="12">
        <v>5</v>
      </c>
      <c r="L579" t="s">
        <v>20</v>
      </c>
      <c r="M579" s="3">
        <v>2231.6999999999998</v>
      </c>
      <c r="N579" s="3">
        <v>330</v>
      </c>
      <c r="O579"/>
      <c r="P579" s="3">
        <v>986.3</v>
      </c>
      <c r="Q579" s="13">
        <f t="shared" si="27"/>
        <v>0.38501776164265916</v>
      </c>
      <c r="R579" s="14">
        <f t="shared" si="28"/>
        <v>3548</v>
      </c>
      <c r="S579" s="15">
        <f t="shared" si="29"/>
        <v>4186.6399999999994</v>
      </c>
    </row>
    <row r="580" spans="1:19" x14ac:dyDescent="0.3">
      <c r="A580">
        <v>200010076</v>
      </c>
      <c r="B580">
        <v>273712658</v>
      </c>
      <c r="C580" s="11">
        <v>46223</v>
      </c>
      <c r="D580" s="1">
        <v>873888136766</v>
      </c>
      <c r="E580">
        <v>41340</v>
      </c>
      <c r="F580" t="s">
        <v>21</v>
      </c>
      <c r="G580" s="12">
        <v>8.5</v>
      </c>
      <c r="H580">
        <v>55</v>
      </c>
      <c r="I580">
        <v>31</v>
      </c>
      <c r="J580">
        <v>27</v>
      </c>
      <c r="K580" s="12">
        <v>8.5</v>
      </c>
      <c r="L580" t="s">
        <v>20</v>
      </c>
      <c r="M580" s="3">
        <v>3184.4</v>
      </c>
      <c r="N580" s="3">
        <v>561</v>
      </c>
      <c r="O580"/>
      <c r="P580" s="3">
        <v>1442</v>
      </c>
      <c r="Q580" s="13">
        <f t="shared" si="27"/>
        <v>0.38500560687777008</v>
      </c>
      <c r="R580" s="14">
        <f t="shared" si="28"/>
        <v>5187.3999999999996</v>
      </c>
      <c r="S580" s="15">
        <f t="shared" si="29"/>
        <v>6121.1319999999996</v>
      </c>
    </row>
    <row r="581" spans="1:19" x14ac:dyDescent="0.3">
      <c r="A581">
        <v>200010076</v>
      </c>
      <c r="B581">
        <v>273712658</v>
      </c>
      <c r="C581" s="11">
        <v>46223</v>
      </c>
      <c r="D581" s="1">
        <v>873888142029</v>
      </c>
      <c r="E581">
        <v>41413</v>
      </c>
      <c r="F581" t="s">
        <v>21</v>
      </c>
      <c r="G581" s="12">
        <v>5</v>
      </c>
      <c r="H581">
        <v>53</v>
      </c>
      <c r="I581">
        <v>23</v>
      </c>
      <c r="J581">
        <v>23</v>
      </c>
      <c r="K581" s="12">
        <v>5</v>
      </c>
      <c r="L581" t="s">
        <v>20</v>
      </c>
      <c r="M581" s="3">
        <v>2231.6999999999998</v>
      </c>
      <c r="N581" s="3">
        <v>330</v>
      </c>
      <c r="O581"/>
      <c r="P581" s="3">
        <v>986.3</v>
      </c>
      <c r="Q581" s="13">
        <f t="shared" si="27"/>
        <v>0.38501776164265916</v>
      </c>
      <c r="R581" s="14">
        <f t="shared" si="28"/>
        <v>3548</v>
      </c>
      <c r="S581" s="15">
        <f t="shared" si="29"/>
        <v>4186.6399999999994</v>
      </c>
    </row>
    <row r="582" spans="1:19" x14ac:dyDescent="0.3">
      <c r="A582">
        <v>200010076</v>
      </c>
      <c r="B582">
        <v>273712658</v>
      </c>
      <c r="C582" s="11">
        <v>46223</v>
      </c>
      <c r="D582" s="1">
        <v>873888142030</v>
      </c>
      <c r="E582">
        <v>41704</v>
      </c>
      <c r="F582" t="s">
        <v>21</v>
      </c>
      <c r="G582" s="12">
        <v>2.27</v>
      </c>
      <c r="H582">
        <v>31</v>
      </c>
      <c r="I582">
        <v>25</v>
      </c>
      <c r="J582">
        <v>10</v>
      </c>
      <c r="K582" s="12">
        <v>2.2999999999999998</v>
      </c>
      <c r="L582" t="s">
        <v>20</v>
      </c>
      <c r="M582" s="3">
        <v>1671.3</v>
      </c>
      <c r="N582" s="3">
        <v>165</v>
      </c>
      <c r="O582"/>
      <c r="P582" s="3">
        <v>707</v>
      </c>
      <c r="Q582" s="13">
        <f t="shared" si="27"/>
        <v>0.38501334204650656</v>
      </c>
      <c r="R582" s="14">
        <f t="shared" si="28"/>
        <v>2543.3000000000002</v>
      </c>
      <c r="S582" s="15">
        <f t="shared" si="29"/>
        <v>3001.0940000000001</v>
      </c>
    </row>
    <row r="583" spans="1:19" x14ac:dyDescent="0.3">
      <c r="A583">
        <v>200010076</v>
      </c>
      <c r="B583">
        <v>273712658</v>
      </c>
      <c r="C583" s="11">
        <v>46223</v>
      </c>
      <c r="D583" s="1">
        <v>873888143140</v>
      </c>
      <c r="E583">
        <v>40702</v>
      </c>
      <c r="F583" t="s">
        <v>21</v>
      </c>
      <c r="G583" s="12">
        <v>12.5</v>
      </c>
      <c r="H583">
        <v>69</v>
      </c>
      <c r="I583">
        <v>33</v>
      </c>
      <c r="J583">
        <v>32</v>
      </c>
      <c r="K583" s="12">
        <v>12.5</v>
      </c>
      <c r="L583" t="s">
        <v>20</v>
      </c>
      <c r="M583" s="3">
        <v>5257.8</v>
      </c>
      <c r="N583" s="3">
        <v>825</v>
      </c>
      <c r="O583"/>
      <c r="P583" s="3">
        <v>2341.9</v>
      </c>
      <c r="Q583" s="13">
        <f t="shared" si="27"/>
        <v>0.38500361675544159</v>
      </c>
      <c r="R583" s="14">
        <f t="shared" si="28"/>
        <v>8424.7000000000007</v>
      </c>
      <c r="S583" s="15">
        <f t="shared" si="29"/>
        <v>9941.1460000000006</v>
      </c>
    </row>
    <row r="584" spans="1:19" x14ac:dyDescent="0.3">
      <c r="A584">
        <v>200010076</v>
      </c>
      <c r="B584">
        <v>273712658</v>
      </c>
      <c r="C584" s="11">
        <v>46223</v>
      </c>
      <c r="D584" s="1">
        <v>873888149229</v>
      </c>
      <c r="E584">
        <v>40633</v>
      </c>
      <c r="F584" t="s">
        <v>21</v>
      </c>
      <c r="G584" s="12">
        <v>4.5</v>
      </c>
      <c r="H584">
        <v>61</v>
      </c>
      <c r="I584">
        <v>21</v>
      </c>
      <c r="J584">
        <v>19</v>
      </c>
      <c r="K584" s="12">
        <v>4.5</v>
      </c>
      <c r="L584" t="s">
        <v>20</v>
      </c>
      <c r="M584" s="3">
        <v>2098.9</v>
      </c>
      <c r="N584" s="3">
        <v>297</v>
      </c>
      <c r="O584"/>
      <c r="P584" s="3">
        <v>922.4</v>
      </c>
      <c r="Q584" s="13">
        <f t="shared" si="27"/>
        <v>0.38499102633665844</v>
      </c>
      <c r="R584" s="14">
        <f t="shared" si="28"/>
        <v>3318.3</v>
      </c>
      <c r="S584" s="15">
        <f t="shared" si="29"/>
        <v>3915.5940000000001</v>
      </c>
    </row>
    <row r="585" spans="1:19" x14ac:dyDescent="0.3">
      <c r="A585">
        <v>200010076</v>
      </c>
      <c r="B585">
        <v>273712658</v>
      </c>
      <c r="C585" s="11">
        <v>46223</v>
      </c>
      <c r="D585" s="1">
        <v>873888150829</v>
      </c>
      <c r="E585">
        <v>7871433</v>
      </c>
      <c r="F585" t="s">
        <v>21</v>
      </c>
      <c r="G585" s="12">
        <v>3.36</v>
      </c>
      <c r="H585">
        <v>40</v>
      </c>
      <c r="I585">
        <v>30</v>
      </c>
      <c r="J585">
        <v>19</v>
      </c>
      <c r="K585" s="12">
        <v>3.8</v>
      </c>
      <c r="L585" t="s">
        <v>20</v>
      </c>
      <c r="M585" s="3">
        <v>1966.1</v>
      </c>
      <c r="N585" s="3">
        <v>264</v>
      </c>
      <c r="O585"/>
      <c r="P585" s="3">
        <v>858.6</v>
      </c>
      <c r="Q585" s="13">
        <f t="shared" si="27"/>
        <v>0.38500515671942964</v>
      </c>
      <c r="R585" s="14">
        <f t="shared" si="28"/>
        <v>3088.7</v>
      </c>
      <c r="S585" s="15">
        <f t="shared" si="29"/>
        <v>3644.6659999999997</v>
      </c>
    </row>
    <row r="586" spans="1:19" x14ac:dyDescent="0.3">
      <c r="A586">
        <v>200010076</v>
      </c>
      <c r="B586">
        <v>273712658</v>
      </c>
      <c r="C586" s="11">
        <v>46223</v>
      </c>
      <c r="D586" s="1">
        <v>873888151928</v>
      </c>
      <c r="E586">
        <v>41258</v>
      </c>
      <c r="F586" t="s">
        <v>21</v>
      </c>
      <c r="G586" s="12">
        <v>4.5</v>
      </c>
      <c r="H586">
        <v>44</v>
      </c>
      <c r="I586">
        <v>24</v>
      </c>
      <c r="J586">
        <v>24</v>
      </c>
      <c r="K586" s="12">
        <v>4.5</v>
      </c>
      <c r="L586" t="s">
        <v>20</v>
      </c>
      <c r="M586" s="3">
        <v>2098.9</v>
      </c>
      <c r="N586" s="3">
        <v>297</v>
      </c>
      <c r="O586"/>
      <c r="P586" s="3">
        <v>922.4</v>
      </c>
      <c r="Q586" s="13">
        <f t="shared" si="27"/>
        <v>0.38499102633665844</v>
      </c>
      <c r="R586" s="14">
        <f t="shared" si="28"/>
        <v>3318.3</v>
      </c>
      <c r="S586" s="15">
        <f t="shared" si="29"/>
        <v>3915.5940000000001</v>
      </c>
    </row>
    <row r="587" spans="1:19" x14ac:dyDescent="0.3">
      <c r="A587">
        <v>200010076</v>
      </c>
      <c r="B587">
        <v>273712658</v>
      </c>
      <c r="C587" s="11">
        <v>46223</v>
      </c>
      <c r="D587" s="1">
        <v>873888157179</v>
      </c>
      <c r="E587">
        <v>39619</v>
      </c>
      <c r="F587" t="s">
        <v>21</v>
      </c>
      <c r="G587" s="12">
        <v>29.5</v>
      </c>
      <c r="H587">
        <v>95</v>
      </c>
      <c r="I587">
        <v>43</v>
      </c>
      <c r="J587">
        <v>42</v>
      </c>
      <c r="K587" s="12">
        <v>29.5</v>
      </c>
      <c r="L587" t="s">
        <v>20</v>
      </c>
      <c r="M587" s="3">
        <v>11619.6</v>
      </c>
      <c r="N587" s="3">
        <v>1947</v>
      </c>
      <c r="O587">
        <v>2235</v>
      </c>
      <c r="P587" s="3">
        <v>6083.6</v>
      </c>
      <c r="Q587" s="13">
        <f t="shared" si="27"/>
        <v>0.38499898744430944</v>
      </c>
      <c r="R587" s="14">
        <f t="shared" si="28"/>
        <v>21885.200000000001</v>
      </c>
      <c r="S587" s="15">
        <f t="shared" si="29"/>
        <v>25824.536</v>
      </c>
    </row>
    <row r="588" spans="1:19" x14ac:dyDescent="0.3">
      <c r="A588">
        <v>200010076</v>
      </c>
      <c r="B588">
        <v>273712658</v>
      </c>
      <c r="C588" s="11">
        <v>46223</v>
      </c>
      <c r="D588" s="1">
        <v>873888162741</v>
      </c>
      <c r="E588">
        <v>41094</v>
      </c>
      <c r="F588" t="s">
        <v>21</v>
      </c>
      <c r="G588" s="12">
        <v>5</v>
      </c>
      <c r="H588">
        <v>50</v>
      </c>
      <c r="I588">
        <v>24</v>
      </c>
      <c r="J588">
        <v>24</v>
      </c>
      <c r="K588" s="12">
        <v>5</v>
      </c>
      <c r="L588" t="s">
        <v>20</v>
      </c>
      <c r="M588" s="3">
        <v>2231.6999999999998</v>
      </c>
      <c r="N588" s="3">
        <v>330</v>
      </c>
      <c r="O588"/>
      <c r="P588" s="3">
        <v>986.3</v>
      </c>
      <c r="Q588" s="13">
        <f t="shared" si="27"/>
        <v>0.38501776164265916</v>
      </c>
      <c r="R588" s="14">
        <f t="shared" si="28"/>
        <v>3548</v>
      </c>
      <c r="S588" s="15">
        <f t="shared" si="29"/>
        <v>4186.6399999999994</v>
      </c>
    </row>
    <row r="589" spans="1:19" x14ac:dyDescent="0.3">
      <c r="A589">
        <v>200010076</v>
      </c>
      <c r="B589">
        <v>273712658</v>
      </c>
      <c r="C589" s="11">
        <v>46223</v>
      </c>
      <c r="D589" s="1">
        <v>873888166037</v>
      </c>
      <c r="E589">
        <v>40869</v>
      </c>
      <c r="F589" t="s">
        <v>21</v>
      </c>
      <c r="G589" s="12">
        <v>8.5</v>
      </c>
      <c r="H589">
        <v>96</v>
      </c>
      <c r="I589">
        <v>22</v>
      </c>
      <c r="J589">
        <v>22</v>
      </c>
      <c r="K589" s="12">
        <v>8.5</v>
      </c>
      <c r="L589" t="s">
        <v>20</v>
      </c>
      <c r="M589" s="3">
        <v>3184.4</v>
      </c>
      <c r="N589" s="3">
        <v>561</v>
      </c>
      <c r="O589"/>
      <c r="P589" s="3">
        <v>1442</v>
      </c>
      <c r="Q589" s="13">
        <f t="shared" si="27"/>
        <v>0.38500560687777008</v>
      </c>
      <c r="R589" s="14">
        <f t="shared" si="28"/>
        <v>5187.3999999999996</v>
      </c>
      <c r="S589" s="15">
        <f t="shared" si="29"/>
        <v>6121.1319999999996</v>
      </c>
    </row>
    <row r="590" spans="1:19" x14ac:dyDescent="0.3">
      <c r="A590">
        <v>200010076</v>
      </c>
      <c r="B590">
        <v>273712658</v>
      </c>
      <c r="C590" s="11">
        <v>46223</v>
      </c>
      <c r="D590" s="1">
        <v>873888169003</v>
      </c>
      <c r="E590">
        <v>39589</v>
      </c>
      <c r="F590" t="s">
        <v>21</v>
      </c>
      <c r="G590" s="12">
        <v>5.5</v>
      </c>
      <c r="H590">
        <v>49</v>
      </c>
      <c r="I590">
        <v>25</v>
      </c>
      <c r="J590">
        <v>25</v>
      </c>
      <c r="K590" s="12">
        <v>5.5</v>
      </c>
      <c r="L590" t="s">
        <v>20</v>
      </c>
      <c r="M590" s="3">
        <v>2494</v>
      </c>
      <c r="N590" s="3">
        <v>363</v>
      </c>
      <c r="O590"/>
      <c r="P590" s="3">
        <v>1100</v>
      </c>
      <c r="Q590" s="13">
        <f t="shared" si="27"/>
        <v>0.38501925096254813</v>
      </c>
      <c r="R590" s="14">
        <f t="shared" si="28"/>
        <v>3957</v>
      </c>
      <c r="S590" s="15">
        <f t="shared" si="29"/>
        <v>4669.2599999999993</v>
      </c>
    </row>
    <row r="591" spans="1:19" x14ac:dyDescent="0.3">
      <c r="A591">
        <v>200010076</v>
      </c>
      <c r="B591">
        <v>273712658</v>
      </c>
      <c r="C591" s="11">
        <v>46223</v>
      </c>
      <c r="D591" s="1">
        <v>873888169161</v>
      </c>
      <c r="E591">
        <v>40967</v>
      </c>
      <c r="F591" t="s">
        <v>21</v>
      </c>
      <c r="G591" s="12">
        <v>7</v>
      </c>
      <c r="H591">
        <v>61</v>
      </c>
      <c r="I591">
        <v>26</v>
      </c>
      <c r="J591">
        <v>24</v>
      </c>
      <c r="K591" s="12">
        <v>7</v>
      </c>
      <c r="L591" t="s">
        <v>20</v>
      </c>
      <c r="M591" s="3">
        <v>2839.2</v>
      </c>
      <c r="N591" s="3">
        <v>462</v>
      </c>
      <c r="O591"/>
      <c r="P591" s="3">
        <v>1271</v>
      </c>
      <c r="Q591" s="13">
        <f t="shared" si="27"/>
        <v>0.38501151096570946</v>
      </c>
      <c r="R591" s="14">
        <f t="shared" si="28"/>
        <v>4572.2</v>
      </c>
      <c r="S591" s="15">
        <f t="shared" si="29"/>
        <v>5395.1959999999999</v>
      </c>
    </row>
    <row r="592" spans="1:19" x14ac:dyDescent="0.3">
      <c r="A592">
        <v>200010076</v>
      </c>
      <c r="B592">
        <v>273712658</v>
      </c>
      <c r="C592" s="11">
        <v>46223</v>
      </c>
      <c r="D592" s="1">
        <v>873888173587</v>
      </c>
      <c r="E592">
        <v>40568</v>
      </c>
      <c r="F592" t="s">
        <v>21</v>
      </c>
      <c r="G592" s="12">
        <v>6</v>
      </c>
      <c r="H592">
        <v>61</v>
      </c>
      <c r="I592">
        <v>24</v>
      </c>
      <c r="J592">
        <v>24</v>
      </c>
      <c r="K592" s="12">
        <v>6</v>
      </c>
      <c r="L592" t="s">
        <v>20</v>
      </c>
      <c r="M592" s="3">
        <v>2609.1</v>
      </c>
      <c r="N592" s="3">
        <v>396</v>
      </c>
      <c r="O592"/>
      <c r="P592" s="3">
        <v>1157</v>
      </c>
      <c r="Q592" s="13">
        <f t="shared" si="27"/>
        <v>0.38501214601843536</v>
      </c>
      <c r="R592" s="14">
        <f t="shared" si="28"/>
        <v>4162.1000000000004</v>
      </c>
      <c r="S592" s="15">
        <f t="shared" si="29"/>
        <v>4911.2780000000002</v>
      </c>
    </row>
    <row r="593" spans="1:19" x14ac:dyDescent="0.3">
      <c r="A593">
        <v>200010076</v>
      </c>
      <c r="B593">
        <v>273712658</v>
      </c>
      <c r="C593" s="11">
        <v>46223</v>
      </c>
      <c r="D593" s="1">
        <v>873888176781</v>
      </c>
      <c r="E593">
        <v>40943</v>
      </c>
      <c r="F593" t="s">
        <v>21</v>
      </c>
      <c r="G593" s="12">
        <v>6</v>
      </c>
      <c r="H593">
        <v>58</v>
      </c>
      <c r="I593">
        <v>25</v>
      </c>
      <c r="J593">
        <v>23</v>
      </c>
      <c r="K593" s="12">
        <v>6</v>
      </c>
      <c r="L593" t="s">
        <v>20</v>
      </c>
      <c r="M593" s="3">
        <v>2609.1</v>
      </c>
      <c r="N593" s="3">
        <v>396</v>
      </c>
      <c r="O593"/>
      <c r="P593" s="3">
        <v>1157</v>
      </c>
      <c r="Q593" s="13">
        <f t="shared" si="27"/>
        <v>0.38501214601843536</v>
      </c>
      <c r="R593" s="14">
        <f t="shared" si="28"/>
        <v>4162.1000000000004</v>
      </c>
      <c r="S593" s="15">
        <f t="shared" si="29"/>
        <v>4911.2780000000002</v>
      </c>
    </row>
    <row r="594" spans="1:19" x14ac:dyDescent="0.3">
      <c r="A594">
        <v>200010076</v>
      </c>
      <c r="B594">
        <v>273712658</v>
      </c>
      <c r="C594" s="11">
        <v>46223</v>
      </c>
      <c r="D594" s="1">
        <v>873888178589</v>
      </c>
      <c r="E594">
        <v>41580</v>
      </c>
      <c r="F594" t="s">
        <v>21</v>
      </c>
      <c r="G594" s="12">
        <v>6.5</v>
      </c>
      <c r="H594">
        <v>44</v>
      </c>
      <c r="I594">
        <v>29</v>
      </c>
      <c r="J594">
        <v>28</v>
      </c>
      <c r="K594" s="12">
        <v>6.5</v>
      </c>
      <c r="L594" t="s">
        <v>20</v>
      </c>
      <c r="M594" s="3">
        <v>2724.1</v>
      </c>
      <c r="N594" s="3">
        <v>429</v>
      </c>
      <c r="O594"/>
      <c r="P594" s="3">
        <v>1213.9000000000001</v>
      </c>
      <c r="Q594" s="13">
        <f t="shared" si="27"/>
        <v>0.38498620405315409</v>
      </c>
      <c r="R594" s="14">
        <f t="shared" si="28"/>
        <v>4367</v>
      </c>
      <c r="S594" s="15">
        <f t="shared" si="29"/>
        <v>5153.0599999999995</v>
      </c>
    </row>
    <row r="595" spans="1:19" x14ac:dyDescent="0.3">
      <c r="A595">
        <v>200010076</v>
      </c>
      <c r="B595">
        <v>273712658</v>
      </c>
      <c r="C595" s="11">
        <v>46223</v>
      </c>
      <c r="D595" s="1">
        <v>873888183717</v>
      </c>
      <c r="E595">
        <v>40097</v>
      </c>
      <c r="F595" t="s">
        <v>21</v>
      </c>
      <c r="G595" s="12">
        <v>3.5</v>
      </c>
      <c r="H595">
        <v>44</v>
      </c>
      <c r="I595">
        <v>22</v>
      </c>
      <c r="J595">
        <v>21</v>
      </c>
      <c r="K595" s="12">
        <v>3.5</v>
      </c>
      <c r="L595" t="s">
        <v>20</v>
      </c>
      <c r="M595" s="3">
        <v>1833.3</v>
      </c>
      <c r="N595" s="3">
        <v>231</v>
      </c>
      <c r="O595"/>
      <c r="P595" s="3">
        <v>794.8</v>
      </c>
      <c r="Q595" s="13">
        <f t="shared" si="27"/>
        <v>0.38502155694424256</v>
      </c>
      <c r="R595" s="14">
        <f t="shared" si="28"/>
        <v>2859.1000000000004</v>
      </c>
      <c r="S595" s="15">
        <f t="shared" si="29"/>
        <v>3373.7380000000003</v>
      </c>
    </row>
    <row r="596" spans="1:19" x14ac:dyDescent="0.3">
      <c r="A596">
        <v>200010076</v>
      </c>
      <c r="B596">
        <v>273712658</v>
      </c>
      <c r="C596" s="11">
        <v>46223</v>
      </c>
      <c r="D596" s="1">
        <v>873888184518</v>
      </c>
      <c r="E596">
        <v>41832</v>
      </c>
      <c r="F596" t="s">
        <v>21</v>
      </c>
      <c r="G596" s="12">
        <v>2.5</v>
      </c>
      <c r="H596">
        <v>71</v>
      </c>
      <c r="I596">
        <v>15</v>
      </c>
      <c r="J596">
        <v>13</v>
      </c>
      <c r="K596" s="12">
        <v>2.5</v>
      </c>
      <c r="L596" t="s">
        <v>20</v>
      </c>
      <c r="M596" s="3">
        <v>1671.3</v>
      </c>
      <c r="N596" s="3">
        <v>165</v>
      </c>
      <c r="O596"/>
      <c r="P596" s="3">
        <v>707</v>
      </c>
      <c r="Q596" s="13">
        <f t="shared" si="27"/>
        <v>0.38501334204650656</v>
      </c>
      <c r="R596" s="14">
        <f t="shared" si="28"/>
        <v>2543.3000000000002</v>
      </c>
      <c r="S596" s="15">
        <f t="shared" si="29"/>
        <v>3001.0940000000001</v>
      </c>
    </row>
    <row r="597" spans="1:19" x14ac:dyDescent="0.3">
      <c r="A597">
        <v>200010076</v>
      </c>
      <c r="B597">
        <v>273712658</v>
      </c>
      <c r="C597" s="11">
        <v>46223</v>
      </c>
      <c r="D597" s="1">
        <v>873888186072</v>
      </c>
      <c r="E597">
        <v>41242</v>
      </c>
      <c r="F597" t="s">
        <v>21</v>
      </c>
      <c r="G597" s="12">
        <v>4.5</v>
      </c>
      <c r="H597">
        <v>64</v>
      </c>
      <c r="I597">
        <v>20</v>
      </c>
      <c r="J597">
        <v>20</v>
      </c>
      <c r="K597" s="12">
        <v>4.5</v>
      </c>
      <c r="L597" t="s">
        <v>20</v>
      </c>
      <c r="M597" s="3">
        <v>2098.9</v>
      </c>
      <c r="N597" s="3">
        <v>297</v>
      </c>
      <c r="O597"/>
      <c r="P597" s="3">
        <v>922.4</v>
      </c>
      <c r="Q597" s="13">
        <f t="shared" si="27"/>
        <v>0.38499102633665844</v>
      </c>
      <c r="R597" s="14">
        <f t="shared" si="28"/>
        <v>3318.3</v>
      </c>
      <c r="S597" s="15">
        <f t="shared" si="29"/>
        <v>3915.5940000000001</v>
      </c>
    </row>
    <row r="598" spans="1:19" x14ac:dyDescent="0.3">
      <c r="A598">
        <v>200010076</v>
      </c>
      <c r="B598">
        <v>273712658</v>
      </c>
      <c r="C598" s="11">
        <v>46223</v>
      </c>
      <c r="D598" s="1">
        <v>873888191667</v>
      </c>
      <c r="E598">
        <v>40971</v>
      </c>
      <c r="F598" t="s">
        <v>21</v>
      </c>
      <c r="G598" s="12">
        <v>4.5</v>
      </c>
      <c r="H598">
        <v>41</v>
      </c>
      <c r="I598">
        <v>25</v>
      </c>
      <c r="J598">
        <v>24</v>
      </c>
      <c r="K598" s="12">
        <v>4.5</v>
      </c>
      <c r="L598" t="s">
        <v>20</v>
      </c>
      <c r="M598" s="3">
        <v>2098.9</v>
      </c>
      <c r="N598" s="3">
        <v>297</v>
      </c>
      <c r="O598"/>
      <c r="P598" s="3">
        <v>922.4</v>
      </c>
      <c r="Q598" s="13">
        <f t="shared" si="27"/>
        <v>0.38499102633665844</v>
      </c>
      <c r="R598" s="14">
        <f t="shared" si="28"/>
        <v>3318.3</v>
      </c>
      <c r="S598" s="15">
        <f t="shared" si="29"/>
        <v>3915.5940000000001</v>
      </c>
    </row>
    <row r="599" spans="1:19" x14ac:dyDescent="0.3">
      <c r="A599">
        <v>200010076</v>
      </c>
      <c r="B599">
        <v>273712658</v>
      </c>
      <c r="C599" s="11">
        <v>46223</v>
      </c>
      <c r="D599" s="1">
        <v>873888191932</v>
      </c>
      <c r="E599">
        <v>38948</v>
      </c>
      <c r="F599" t="s">
        <v>21</v>
      </c>
      <c r="G599" s="12">
        <v>4.3099999999999996</v>
      </c>
      <c r="H599">
        <v>42</v>
      </c>
      <c r="I599">
        <v>33</v>
      </c>
      <c r="J599">
        <v>19</v>
      </c>
      <c r="K599" s="12">
        <v>4.4000000000000004</v>
      </c>
      <c r="L599" t="s">
        <v>20</v>
      </c>
      <c r="M599" s="3">
        <v>2098.9</v>
      </c>
      <c r="N599" s="3">
        <v>297</v>
      </c>
      <c r="O599">
        <v>900</v>
      </c>
      <c r="P599" s="3">
        <v>1268.9000000000001</v>
      </c>
      <c r="Q599" s="13">
        <f t="shared" si="27"/>
        <v>0.38499347674383327</v>
      </c>
      <c r="R599" s="14">
        <f t="shared" si="28"/>
        <v>4564.8</v>
      </c>
      <c r="S599" s="15">
        <f t="shared" si="29"/>
        <v>5386.4639999999999</v>
      </c>
    </row>
    <row r="600" spans="1:19" x14ac:dyDescent="0.3">
      <c r="A600">
        <v>200010076</v>
      </c>
      <c r="B600">
        <v>273712658</v>
      </c>
      <c r="C600" s="11">
        <v>46223</v>
      </c>
      <c r="D600" s="1">
        <v>873888198694</v>
      </c>
      <c r="E600">
        <v>39003</v>
      </c>
      <c r="F600" t="s">
        <v>21</v>
      </c>
      <c r="G600" s="12">
        <v>13</v>
      </c>
      <c r="H600">
        <v>57</v>
      </c>
      <c r="I600">
        <v>40</v>
      </c>
      <c r="J600">
        <v>36</v>
      </c>
      <c r="K600" s="12">
        <v>13.7</v>
      </c>
      <c r="L600" t="s">
        <v>20</v>
      </c>
      <c r="M600" s="3">
        <v>5769.9</v>
      </c>
      <c r="N600" s="3">
        <v>924</v>
      </c>
      <c r="O600"/>
      <c r="P600" s="3">
        <v>2577.1999999999998</v>
      </c>
      <c r="Q600" s="13">
        <f t="shared" si="27"/>
        <v>0.38500724540253067</v>
      </c>
      <c r="R600" s="14">
        <f t="shared" si="28"/>
        <v>9271.0999999999985</v>
      </c>
      <c r="S600" s="15">
        <f t="shared" si="29"/>
        <v>10939.897999999997</v>
      </c>
    </row>
    <row r="601" spans="1:19" x14ac:dyDescent="0.3">
      <c r="A601">
        <v>200010076</v>
      </c>
      <c r="B601">
        <v>273712658</v>
      </c>
      <c r="C601" s="11">
        <v>46223</v>
      </c>
      <c r="D601" s="1">
        <v>873888204421</v>
      </c>
      <c r="E601">
        <v>39895</v>
      </c>
      <c r="F601" t="s">
        <v>21</v>
      </c>
      <c r="G601" s="12">
        <v>13</v>
      </c>
      <c r="H601">
        <v>66</v>
      </c>
      <c r="I601">
        <v>34</v>
      </c>
      <c r="J601">
        <v>33</v>
      </c>
      <c r="K601" s="12">
        <v>13</v>
      </c>
      <c r="L601" t="s">
        <v>20</v>
      </c>
      <c r="M601" s="3">
        <v>5428.5</v>
      </c>
      <c r="N601" s="3">
        <v>858</v>
      </c>
      <c r="O601"/>
      <c r="P601" s="3">
        <v>2420.3000000000002</v>
      </c>
      <c r="Q601" s="13">
        <f t="shared" si="27"/>
        <v>0.38499960232243702</v>
      </c>
      <c r="R601" s="14">
        <f t="shared" si="28"/>
        <v>8706.7999999999993</v>
      </c>
      <c r="S601" s="15">
        <f t="shared" si="29"/>
        <v>10274.023999999999</v>
      </c>
    </row>
    <row r="602" spans="1:19" x14ac:dyDescent="0.3">
      <c r="A602">
        <v>200010076</v>
      </c>
      <c r="B602">
        <v>273712658</v>
      </c>
      <c r="C602" s="11">
        <v>46223</v>
      </c>
      <c r="D602" s="1">
        <v>873888205807</v>
      </c>
      <c r="E602" t="s">
        <v>37</v>
      </c>
      <c r="F602" t="s">
        <v>21</v>
      </c>
      <c r="G602" s="12">
        <v>17.5</v>
      </c>
      <c r="H602">
        <v>49</v>
      </c>
      <c r="I602">
        <v>43</v>
      </c>
      <c r="J602">
        <v>25</v>
      </c>
      <c r="K602" s="12">
        <v>17.5</v>
      </c>
      <c r="L602" t="s">
        <v>20</v>
      </c>
      <c r="M602" s="3">
        <v>6964.7</v>
      </c>
      <c r="N602" s="3">
        <v>1155</v>
      </c>
      <c r="O602"/>
      <c r="P602" s="3">
        <v>3126.1</v>
      </c>
      <c r="Q602" s="13">
        <f t="shared" si="27"/>
        <v>0.38500190893752234</v>
      </c>
      <c r="R602" s="14">
        <f t="shared" si="28"/>
        <v>11245.8</v>
      </c>
      <c r="S602" s="15">
        <f t="shared" si="29"/>
        <v>13270.043999999998</v>
      </c>
    </row>
    <row r="603" spans="1:19" x14ac:dyDescent="0.3">
      <c r="A603">
        <v>200010076</v>
      </c>
      <c r="B603">
        <v>273712658</v>
      </c>
      <c r="C603" s="11">
        <v>46223</v>
      </c>
      <c r="D603" s="1">
        <v>873888206229</v>
      </c>
      <c r="E603">
        <v>40998</v>
      </c>
      <c r="F603" t="s">
        <v>21</v>
      </c>
      <c r="G603" s="12">
        <v>3.18</v>
      </c>
      <c r="H603">
        <v>37</v>
      </c>
      <c r="I603">
        <v>20</v>
      </c>
      <c r="J603">
        <v>14</v>
      </c>
      <c r="K603" s="12">
        <v>3.2</v>
      </c>
      <c r="L603" t="s">
        <v>20</v>
      </c>
      <c r="M603" s="3">
        <v>1833.3</v>
      </c>
      <c r="N603" s="3">
        <v>231</v>
      </c>
      <c r="O603"/>
      <c r="P603" s="3">
        <v>794.8</v>
      </c>
      <c r="Q603" s="13">
        <f t="shared" si="27"/>
        <v>0.38502155694424256</v>
      </c>
      <c r="R603" s="14">
        <f t="shared" si="28"/>
        <v>2859.1000000000004</v>
      </c>
      <c r="S603" s="15">
        <f t="shared" si="29"/>
        <v>3373.7380000000003</v>
      </c>
    </row>
    <row r="604" spans="1:19" x14ac:dyDescent="0.3">
      <c r="A604">
        <v>200010076</v>
      </c>
      <c r="B604">
        <v>273712658</v>
      </c>
      <c r="C604" s="11">
        <v>46223</v>
      </c>
      <c r="D604" s="1">
        <v>873888206755</v>
      </c>
      <c r="E604">
        <v>41610</v>
      </c>
      <c r="F604" t="s">
        <v>21</v>
      </c>
      <c r="G604" s="12">
        <v>2</v>
      </c>
      <c r="H604">
        <v>31</v>
      </c>
      <c r="I604">
        <v>21</v>
      </c>
      <c r="J604">
        <v>14</v>
      </c>
      <c r="K604" s="12">
        <v>2</v>
      </c>
      <c r="L604" t="s">
        <v>20</v>
      </c>
      <c r="M604" s="3">
        <v>1512.5</v>
      </c>
      <c r="N604" s="3">
        <v>132</v>
      </c>
      <c r="O604"/>
      <c r="P604" s="3">
        <v>633.1</v>
      </c>
      <c r="Q604" s="13">
        <f t="shared" si="27"/>
        <v>0.3849802371541502</v>
      </c>
      <c r="R604" s="14">
        <f t="shared" si="28"/>
        <v>2277.6</v>
      </c>
      <c r="S604" s="15">
        <f t="shared" si="29"/>
        <v>2687.5679999999998</v>
      </c>
    </row>
    <row r="605" spans="1:19" x14ac:dyDescent="0.3">
      <c r="A605">
        <v>200010076</v>
      </c>
      <c r="B605">
        <v>273712658</v>
      </c>
      <c r="C605" s="11">
        <v>46223</v>
      </c>
      <c r="D605" s="1">
        <v>873888212658</v>
      </c>
      <c r="E605">
        <v>41577</v>
      </c>
      <c r="F605" t="s">
        <v>21</v>
      </c>
      <c r="G605" s="12">
        <v>12.5</v>
      </c>
      <c r="H605">
        <v>65</v>
      </c>
      <c r="I605">
        <v>35</v>
      </c>
      <c r="J605">
        <v>32</v>
      </c>
      <c r="K605" s="12">
        <v>12.5</v>
      </c>
      <c r="L605" t="s">
        <v>20</v>
      </c>
      <c r="M605" s="3">
        <v>5257.8</v>
      </c>
      <c r="N605" s="3">
        <v>825</v>
      </c>
      <c r="O605"/>
      <c r="P605" s="3">
        <v>2341.9</v>
      </c>
      <c r="Q605" s="13">
        <f t="shared" si="27"/>
        <v>0.38500361675544159</v>
      </c>
      <c r="R605" s="14">
        <f t="shared" si="28"/>
        <v>8424.7000000000007</v>
      </c>
      <c r="S605" s="15">
        <f t="shared" si="29"/>
        <v>9941.1460000000006</v>
      </c>
    </row>
    <row r="606" spans="1:19" x14ac:dyDescent="0.3">
      <c r="A606">
        <v>200010076</v>
      </c>
      <c r="B606">
        <v>273712658</v>
      </c>
      <c r="C606" s="11">
        <v>46223</v>
      </c>
      <c r="D606" s="1">
        <v>873888213275</v>
      </c>
      <c r="E606">
        <v>40131</v>
      </c>
      <c r="F606" t="s">
        <v>21</v>
      </c>
      <c r="G606" s="12">
        <v>5.5</v>
      </c>
      <c r="H606">
        <v>33</v>
      </c>
      <c r="I606">
        <v>30</v>
      </c>
      <c r="J606">
        <v>30</v>
      </c>
      <c r="K606" s="12">
        <v>5.5</v>
      </c>
      <c r="L606" t="s">
        <v>20</v>
      </c>
      <c r="M606" s="3">
        <v>2494</v>
      </c>
      <c r="N606" s="3">
        <v>363</v>
      </c>
      <c r="O606"/>
      <c r="P606" s="3">
        <v>1100</v>
      </c>
      <c r="Q606" s="13">
        <f t="shared" si="27"/>
        <v>0.38501925096254813</v>
      </c>
      <c r="R606" s="14">
        <f t="shared" si="28"/>
        <v>3957</v>
      </c>
      <c r="S606" s="15">
        <f t="shared" si="29"/>
        <v>4669.2599999999993</v>
      </c>
    </row>
    <row r="607" spans="1:19" x14ac:dyDescent="0.3">
      <c r="A607">
        <v>200010076</v>
      </c>
      <c r="B607">
        <v>273712658</v>
      </c>
      <c r="C607" s="11">
        <v>46223</v>
      </c>
      <c r="D607" s="1">
        <v>873888217190</v>
      </c>
      <c r="E607">
        <v>40907</v>
      </c>
      <c r="F607" t="s">
        <v>21</v>
      </c>
      <c r="G607" s="12">
        <v>2</v>
      </c>
      <c r="H607">
        <v>57</v>
      </c>
      <c r="I607">
        <v>15</v>
      </c>
      <c r="J607">
        <v>13</v>
      </c>
      <c r="K607" s="12">
        <v>2</v>
      </c>
      <c r="L607" t="s">
        <v>20</v>
      </c>
      <c r="M607" s="3">
        <v>1512.5</v>
      </c>
      <c r="N607" s="3">
        <v>132</v>
      </c>
      <c r="O607"/>
      <c r="P607" s="3">
        <v>633.1</v>
      </c>
      <c r="Q607" s="13">
        <f t="shared" si="27"/>
        <v>0.3849802371541502</v>
      </c>
      <c r="R607" s="14">
        <f t="shared" si="28"/>
        <v>2277.6</v>
      </c>
      <c r="S607" s="15">
        <f t="shared" si="29"/>
        <v>2687.5679999999998</v>
      </c>
    </row>
    <row r="608" spans="1:19" x14ac:dyDescent="0.3">
      <c r="A608">
        <v>200010076</v>
      </c>
      <c r="B608">
        <v>273712658</v>
      </c>
      <c r="C608" s="11">
        <v>46223</v>
      </c>
      <c r="D608" s="1">
        <v>873888219251</v>
      </c>
      <c r="E608">
        <v>41328</v>
      </c>
      <c r="F608" t="s">
        <v>21</v>
      </c>
      <c r="G608" s="12">
        <v>14</v>
      </c>
      <c r="H608">
        <v>96</v>
      </c>
      <c r="I608">
        <v>30</v>
      </c>
      <c r="J608">
        <v>28</v>
      </c>
      <c r="K608" s="12">
        <v>14</v>
      </c>
      <c r="L608" t="s">
        <v>20</v>
      </c>
      <c r="M608" s="3">
        <v>5769.9</v>
      </c>
      <c r="N608" s="3">
        <v>924</v>
      </c>
      <c r="O608"/>
      <c r="P608" s="3">
        <v>2577.1999999999998</v>
      </c>
      <c r="Q608" s="13">
        <f t="shared" si="27"/>
        <v>0.38500724540253067</v>
      </c>
      <c r="R608" s="14">
        <f t="shared" si="28"/>
        <v>9271.0999999999985</v>
      </c>
      <c r="S608" s="15">
        <f t="shared" si="29"/>
        <v>10939.897999999997</v>
      </c>
    </row>
    <row r="609" spans="1:19" x14ac:dyDescent="0.3">
      <c r="A609">
        <v>200010076</v>
      </c>
      <c r="B609">
        <v>273712658</v>
      </c>
      <c r="C609" s="11">
        <v>46223</v>
      </c>
      <c r="D609" s="1">
        <v>873888224250</v>
      </c>
      <c r="E609">
        <v>39294</v>
      </c>
      <c r="F609" t="s">
        <v>21</v>
      </c>
      <c r="G609" s="12">
        <v>15</v>
      </c>
      <c r="H609">
        <v>75</v>
      </c>
      <c r="I609">
        <v>35</v>
      </c>
      <c r="J609">
        <v>33</v>
      </c>
      <c r="K609" s="12">
        <v>15</v>
      </c>
      <c r="L609" t="s">
        <v>20</v>
      </c>
      <c r="M609" s="3">
        <v>6111.3</v>
      </c>
      <c r="N609" s="3">
        <v>990</v>
      </c>
      <c r="O609"/>
      <c r="P609" s="3">
        <v>2734</v>
      </c>
      <c r="Q609" s="13">
        <f t="shared" si="27"/>
        <v>0.38499992959035667</v>
      </c>
      <c r="R609" s="14">
        <f t="shared" si="28"/>
        <v>9835.2999999999993</v>
      </c>
      <c r="S609" s="15">
        <f t="shared" si="29"/>
        <v>11605.653999999999</v>
      </c>
    </row>
    <row r="610" spans="1:19" x14ac:dyDescent="0.3">
      <c r="A610">
        <v>200010076</v>
      </c>
      <c r="B610">
        <v>273712658</v>
      </c>
      <c r="C610" s="11">
        <v>46223</v>
      </c>
      <c r="D610" s="1">
        <v>873888226816</v>
      </c>
      <c r="E610">
        <v>41466</v>
      </c>
      <c r="F610" t="s">
        <v>21</v>
      </c>
      <c r="G610" s="12">
        <v>4.5</v>
      </c>
      <c r="H610">
        <v>54</v>
      </c>
      <c r="I610">
        <v>22</v>
      </c>
      <c r="J610">
        <v>20</v>
      </c>
      <c r="K610" s="12">
        <v>4.5</v>
      </c>
      <c r="L610" t="s">
        <v>20</v>
      </c>
      <c r="M610" s="3">
        <v>2098.9</v>
      </c>
      <c r="N610" s="3">
        <v>297</v>
      </c>
      <c r="O610"/>
      <c r="P610" s="3">
        <v>922.4</v>
      </c>
      <c r="Q610" s="13">
        <f t="shared" si="27"/>
        <v>0.38499102633665844</v>
      </c>
      <c r="R610" s="14">
        <f t="shared" si="28"/>
        <v>3318.3</v>
      </c>
      <c r="S610" s="15">
        <f t="shared" si="29"/>
        <v>3915.5940000000001</v>
      </c>
    </row>
    <row r="611" spans="1:19" x14ac:dyDescent="0.3">
      <c r="A611">
        <v>200010076</v>
      </c>
      <c r="B611">
        <v>273712658</v>
      </c>
      <c r="C611" s="11">
        <v>46223</v>
      </c>
      <c r="D611" s="1">
        <v>873888227400</v>
      </c>
      <c r="E611">
        <v>41075</v>
      </c>
      <c r="F611" t="s">
        <v>21</v>
      </c>
      <c r="G611" s="12">
        <v>11</v>
      </c>
      <c r="H611">
        <v>61</v>
      </c>
      <c r="I611">
        <v>33</v>
      </c>
      <c r="J611">
        <v>32</v>
      </c>
      <c r="K611" s="12">
        <v>11</v>
      </c>
      <c r="L611" t="s">
        <v>20</v>
      </c>
      <c r="M611" s="3">
        <v>4745.8</v>
      </c>
      <c r="N611" s="3">
        <v>726</v>
      </c>
      <c r="O611"/>
      <c r="P611" s="3">
        <v>2106.6</v>
      </c>
      <c r="Q611" s="13">
        <f t="shared" si="27"/>
        <v>0.38499214152564054</v>
      </c>
      <c r="R611" s="14">
        <f t="shared" si="28"/>
        <v>7578.4</v>
      </c>
      <c r="S611" s="15">
        <f t="shared" si="29"/>
        <v>8942.5119999999988</v>
      </c>
    </row>
    <row r="612" spans="1:19" x14ac:dyDescent="0.3">
      <c r="A612">
        <v>200010076</v>
      </c>
      <c r="B612">
        <v>273712658</v>
      </c>
      <c r="C612" s="11">
        <v>46223</v>
      </c>
      <c r="D612" s="1">
        <v>873888228348</v>
      </c>
      <c r="E612">
        <v>41430</v>
      </c>
      <c r="F612" t="s">
        <v>21</v>
      </c>
      <c r="G612" s="12">
        <v>8</v>
      </c>
      <c r="H612">
        <v>75</v>
      </c>
      <c r="I612">
        <v>25</v>
      </c>
      <c r="J612">
        <v>24</v>
      </c>
      <c r="K612" s="12">
        <v>8</v>
      </c>
      <c r="L612" t="s">
        <v>20</v>
      </c>
      <c r="M612" s="3">
        <v>3069.3</v>
      </c>
      <c r="N612" s="3">
        <v>528</v>
      </c>
      <c r="O612"/>
      <c r="P612" s="3">
        <v>1385</v>
      </c>
      <c r="Q612" s="13">
        <f t="shared" si="27"/>
        <v>0.38501098045756538</v>
      </c>
      <c r="R612" s="14">
        <f t="shared" si="28"/>
        <v>4982.3</v>
      </c>
      <c r="S612" s="15">
        <f t="shared" si="29"/>
        <v>5879.1139999999996</v>
      </c>
    </row>
    <row r="613" spans="1:19" x14ac:dyDescent="0.3">
      <c r="A613">
        <v>200010076</v>
      </c>
      <c r="B613">
        <v>273712658</v>
      </c>
      <c r="C613" s="11">
        <v>46223</v>
      </c>
      <c r="D613" s="1">
        <v>873888237375</v>
      </c>
      <c r="E613">
        <v>4096745684</v>
      </c>
      <c r="F613" t="s">
        <v>21</v>
      </c>
      <c r="G613" s="12">
        <v>10.5</v>
      </c>
      <c r="H613">
        <v>38</v>
      </c>
      <c r="I613">
        <v>29</v>
      </c>
      <c r="J613">
        <v>26</v>
      </c>
      <c r="K613" s="12">
        <v>10.5</v>
      </c>
      <c r="L613" t="s">
        <v>20</v>
      </c>
      <c r="M613" s="3">
        <v>4575.1000000000004</v>
      </c>
      <c r="N613" s="3">
        <v>693</v>
      </c>
      <c r="O613"/>
      <c r="P613" s="3">
        <v>2028.2</v>
      </c>
      <c r="Q613" s="13">
        <f t="shared" si="27"/>
        <v>0.38499648829748861</v>
      </c>
      <c r="R613" s="14">
        <f t="shared" si="28"/>
        <v>7296.3</v>
      </c>
      <c r="S613" s="15">
        <f t="shared" si="29"/>
        <v>8609.634</v>
      </c>
    </row>
    <row r="614" spans="1:19" x14ac:dyDescent="0.3">
      <c r="A614">
        <v>200010076</v>
      </c>
      <c r="B614">
        <v>273712658</v>
      </c>
      <c r="C614" s="11">
        <v>46223</v>
      </c>
      <c r="D614" s="1">
        <v>873888238349</v>
      </c>
      <c r="E614">
        <v>41367</v>
      </c>
      <c r="F614" t="s">
        <v>21</v>
      </c>
      <c r="G614" s="12">
        <v>6</v>
      </c>
      <c r="H614">
        <v>60</v>
      </c>
      <c r="I614">
        <v>24</v>
      </c>
      <c r="J614">
        <v>23</v>
      </c>
      <c r="K614" s="12">
        <v>6</v>
      </c>
      <c r="L614" t="s">
        <v>20</v>
      </c>
      <c r="M614" s="3">
        <v>2609.1</v>
      </c>
      <c r="N614" s="3">
        <v>396</v>
      </c>
      <c r="O614"/>
      <c r="P614" s="3">
        <v>1157</v>
      </c>
      <c r="Q614" s="13">
        <f t="shared" si="27"/>
        <v>0.38501214601843536</v>
      </c>
      <c r="R614" s="14">
        <f t="shared" si="28"/>
        <v>4162.1000000000004</v>
      </c>
      <c r="S614" s="15">
        <f t="shared" si="29"/>
        <v>4911.2780000000002</v>
      </c>
    </row>
    <row r="615" spans="1:19" x14ac:dyDescent="0.3">
      <c r="A615">
        <v>200010076</v>
      </c>
      <c r="B615">
        <v>273712658</v>
      </c>
      <c r="C615" s="11">
        <v>46223</v>
      </c>
      <c r="D615" s="1">
        <v>873888246450</v>
      </c>
      <c r="E615">
        <v>40017</v>
      </c>
      <c r="F615" t="s">
        <v>21</v>
      </c>
      <c r="G615" s="12">
        <v>3.5</v>
      </c>
      <c r="H615">
        <v>50</v>
      </c>
      <c r="I615">
        <v>20</v>
      </c>
      <c r="J615">
        <v>19</v>
      </c>
      <c r="K615" s="12">
        <v>3.5</v>
      </c>
      <c r="L615" t="s">
        <v>20</v>
      </c>
      <c r="M615" s="3">
        <v>1833.3</v>
      </c>
      <c r="N615" s="3">
        <v>231</v>
      </c>
      <c r="O615"/>
      <c r="P615" s="3">
        <v>794.8</v>
      </c>
      <c r="Q615" s="13">
        <f t="shared" si="27"/>
        <v>0.38502155694424256</v>
      </c>
      <c r="R615" s="14">
        <f t="shared" si="28"/>
        <v>2859.1000000000004</v>
      </c>
      <c r="S615" s="15">
        <f t="shared" si="29"/>
        <v>3373.7380000000003</v>
      </c>
    </row>
    <row r="616" spans="1:19" x14ac:dyDescent="0.3">
      <c r="A616">
        <v>200010076</v>
      </c>
      <c r="B616">
        <v>273712658</v>
      </c>
      <c r="C616" s="11">
        <v>46223</v>
      </c>
      <c r="D616" s="1">
        <v>873888247365</v>
      </c>
      <c r="E616">
        <v>40299</v>
      </c>
      <c r="F616" t="s">
        <v>21</v>
      </c>
      <c r="G616" s="12">
        <v>4.5</v>
      </c>
      <c r="H616">
        <v>53</v>
      </c>
      <c r="I616">
        <v>20</v>
      </c>
      <c r="J616">
        <v>19</v>
      </c>
      <c r="K616" s="12">
        <v>4.5</v>
      </c>
      <c r="L616" t="s">
        <v>20</v>
      </c>
      <c r="M616" s="3">
        <v>2098.9</v>
      </c>
      <c r="N616" s="3">
        <v>297</v>
      </c>
      <c r="O616"/>
      <c r="P616" s="3">
        <v>922.4</v>
      </c>
      <c r="Q616" s="13">
        <f t="shared" si="27"/>
        <v>0.38499102633665844</v>
      </c>
      <c r="R616" s="14">
        <f t="shared" si="28"/>
        <v>3318.3</v>
      </c>
      <c r="S616" s="15">
        <f t="shared" si="29"/>
        <v>3915.5940000000001</v>
      </c>
    </row>
    <row r="617" spans="1:19" x14ac:dyDescent="0.3">
      <c r="A617">
        <v>200010076</v>
      </c>
      <c r="B617">
        <v>273712658</v>
      </c>
      <c r="C617" s="11">
        <v>46223</v>
      </c>
      <c r="D617" s="1">
        <v>873888247550</v>
      </c>
      <c r="E617">
        <v>41691</v>
      </c>
      <c r="F617" t="s">
        <v>21</v>
      </c>
      <c r="G617" s="12">
        <v>7.5</v>
      </c>
      <c r="H617">
        <v>67</v>
      </c>
      <c r="I617">
        <v>25</v>
      </c>
      <c r="J617">
        <v>25</v>
      </c>
      <c r="K617" s="12">
        <v>7.5</v>
      </c>
      <c r="L617" t="s">
        <v>20</v>
      </c>
      <c r="M617" s="3">
        <v>2954.2</v>
      </c>
      <c r="N617" s="3">
        <v>495</v>
      </c>
      <c r="O617"/>
      <c r="P617" s="3">
        <v>1327.9</v>
      </c>
      <c r="Q617" s="13">
        <f t="shared" si="27"/>
        <v>0.38498782326336545</v>
      </c>
      <c r="R617" s="14">
        <f t="shared" si="28"/>
        <v>4777.1000000000004</v>
      </c>
      <c r="S617" s="15">
        <f t="shared" si="29"/>
        <v>5636.9780000000001</v>
      </c>
    </row>
    <row r="618" spans="1:19" x14ac:dyDescent="0.3">
      <c r="A618">
        <v>200010076</v>
      </c>
      <c r="B618">
        <v>273712658</v>
      </c>
      <c r="C618" s="11">
        <v>46223</v>
      </c>
      <c r="D618" s="1">
        <v>873888252504</v>
      </c>
      <c r="E618">
        <v>41721</v>
      </c>
      <c r="F618" t="s">
        <v>21</v>
      </c>
      <c r="G618" s="12">
        <v>2</v>
      </c>
      <c r="H618">
        <v>43</v>
      </c>
      <c r="I618">
        <v>15</v>
      </c>
      <c r="J618">
        <v>13</v>
      </c>
      <c r="K618" s="12">
        <v>2</v>
      </c>
      <c r="L618" t="s">
        <v>20</v>
      </c>
      <c r="M618" s="3">
        <v>1512.5</v>
      </c>
      <c r="N618" s="3">
        <v>132</v>
      </c>
      <c r="O618"/>
      <c r="P618" s="3">
        <v>633.1</v>
      </c>
      <c r="Q618" s="13">
        <f t="shared" si="27"/>
        <v>0.3849802371541502</v>
      </c>
      <c r="R618" s="14">
        <f t="shared" si="28"/>
        <v>2277.6</v>
      </c>
      <c r="S618" s="15">
        <f t="shared" si="29"/>
        <v>2687.5679999999998</v>
      </c>
    </row>
    <row r="619" spans="1:19" x14ac:dyDescent="0.3">
      <c r="A619">
        <v>200010076</v>
      </c>
      <c r="B619">
        <v>273712658</v>
      </c>
      <c r="C619" s="11">
        <v>46223</v>
      </c>
      <c r="D619" s="1">
        <v>873888256326</v>
      </c>
      <c r="E619">
        <v>7871535</v>
      </c>
      <c r="F619" t="s">
        <v>21</v>
      </c>
      <c r="G619" s="12">
        <v>8</v>
      </c>
      <c r="H619">
        <v>52</v>
      </c>
      <c r="I619">
        <v>36</v>
      </c>
      <c r="J619">
        <v>20</v>
      </c>
      <c r="K619" s="12">
        <v>8</v>
      </c>
      <c r="L619" t="s">
        <v>20</v>
      </c>
      <c r="M619" s="3">
        <v>3069.3</v>
      </c>
      <c r="N619" s="3">
        <v>528</v>
      </c>
      <c r="O619"/>
      <c r="P619" s="3">
        <v>1385</v>
      </c>
      <c r="Q619" s="13">
        <f t="shared" si="27"/>
        <v>0.38501098045756538</v>
      </c>
      <c r="R619" s="14">
        <f t="shared" si="28"/>
        <v>4982.3</v>
      </c>
      <c r="S619" s="15">
        <f t="shared" si="29"/>
        <v>5879.1139999999996</v>
      </c>
    </row>
    <row r="620" spans="1:19" x14ac:dyDescent="0.3">
      <c r="A620">
        <v>200010076</v>
      </c>
      <c r="B620">
        <v>273712658</v>
      </c>
      <c r="C620" s="11">
        <v>46223</v>
      </c>
      <c r="D620" s="1">
        <v>873888088911</v>
      </c>
      <c r="E620">
        <v>42032</v>
      </c>
      <c r="F620" t="s">
        <v>21</v>
      </c>
      <c r="G620" s="12">
        <v>0.5</v>
      </c>
      <c r="K620" s="12">
        <v>0</v>
      </c>
      <c r="L620" t="s">
        <v>20</v>
      </c>
      <c r="M620" s="3">
        <v>1031.7</v>
      </c>
      <c r="N620" s="3">
        <v>42.5</v>
      </c>
      <c r="O620"/>
      <c r="P620" s="3">
        <v>413.6</v>
      </c>
      <c r="Q620" s="13">
        <f t="shared" ref="Q620:Q683" si="30">+P620/SUM(M620:O620)</f>
        <v>0.38503072053621301</v>
      </c>
      <c r="R620" s="14">
        <f t="shared" ref="R620:R683" si="31">SUM(M620:P620)</f>
        <v>1487.8000000000002</v>
      </c>
      <c r="S620" s="15">
        <f t="shared" ref="S620:S683" si="32">+R620*1.18</f>
        <v>1755.604</v>
      </c>
    </row>
    <row r="621" spans="1:19" x14ac:dyDescent="0.3">
      <c r="A621">
        <v>200010076</v>
      </c>
      <c r="B621">
        <v>273712658</v>
      </c>
      <c r="C621" s="11">
        <v>46223</v>
      </c>
      <c r="D621" s="1">
        <v>873888095810</v>
      </c>
      <c r="E621">
        <v>4095795480</v>
      </c>
      <c r="F621" t="s">
        <v>21</v>
      </c>
      <c r="G621" s="12">
        <v>0.45</v>
      </c>
      <c r="K621" s="12">
        <v>0</v>
      </c>
      <c r="L621" t="s">
        <v>20</v>
      </c>
      <c r="M621" s="3">
        <v>1031.7</v>
      </c>
      <c r="N621" s="3">
        <v>42.5</v>
      </c>
      <c r="O621"/>
      <c r="P621" s="3">
        <v>413.6</v>
      </c>
      <c r="Q621" s="13">
        <f t="shared" si="30"/>
        <v>0.38503072053621301</v>
      </c>
      <c r="R621" s="14">
        <f t="shared" si="31"/>
        <v>1487.8000000000002</v>
      </c>
      <c r="S621" s="15">
        <f t="shared" si="32"/>
        <v>1755.604</v>
      </c>
    </row>
    <row r="622" spans="1:19" x14ac:dyDescent="0.3">
      <c r="A622">
        <v>200010076</v>
      </c>
      <c r="B622">
        <v>273712658</v>
      </c>
      <c r="C622" s="11">
        <v>46223</v>
      </c>
      <c r="D622" s="1">
        <v>873888096380</v>
      </c>
      <c r="E622">
        <v>42067</v>
      </c>
      <c r="F622" t="s">
        <v>21</v>
      </c>
      <c r="G622" s="12">
        <v>0.5</v>
      </c>
      <c r="K622" s="12">
        <v>0</v>
      </c>
      <c r="L622" t="s">
        <v>20</v>
      </c>
      <c r="M622" s="3">
        <v>1031.7</v>
      </c>
      <c r="N622" s="3">
        <v>42.5</v>
      </c>
      <c r="O622"/>
      <c r="P622" s="3">
        <v>413.6</v>
      </c>
      <c r="Q622" s="13">
        <f t="shared" si="30"/>
        <v>0.38503072053621301</v>
      </c>
      <c r="R622" s="14">
        <f t="shared" si="31"/>
        <v>1487.8000000000002</v>
      </c>
      <c r="S622" s="15">
        <f t="shared" si="32"/>
        <v>1755.604</v>
      </c>
    </row>
    <row r="623" spans="1:19" x14ac:dyDescent="0.3">
      <c r="A623">
        <v>200010076</v>
      </c>
      <c r="B623">
        <v>273712658</v>
      </c>
      <c r="C623" s="11">
        <v>46223</v>
      </c>
      <c r="D623" s="1">
        <v>873888097950</v>
      </c>
      <c r="E623">
        <v>42076</v>
      </c>
      <c r="F623" t="s">
        <v>21</v>
      </c>
      <c r="G623" s="12">
        <v>0.5</v>
      </c>
      <c r="K623" s="12">
        <v>0</v>
      </c>
      <c r="L623" t="s">
        <v>20</v>
      </c>
      <c r="M623" s="3">
        <v>1031.7</v>
      </c>
      <c r="N623" s="3">
        <v>42.5</v>
      </c>
      <c r="O623"/>
      <c r="P623" s="3">
        <v>413.6</v>
      </c>
      <c r="Q623" s="13">
        <f t="shared" si="30"/>
        <v>0.38503072053621301</v>
      </c>
      <c r="R623" s="14">
        <f t="shared" si="31"/>
        <v>1487.8000000000002</v>
      </c>
      <c r="S623" s="15">
        <f t="shared" si="32"/>
        <v>1755.604</v>
      </c>
    </row>
    <row r="624" spans="1:19" x14ac:dyDescent="0.3">
      <c r="A624">
        <v>200010076</v>
      </c>
      <c r="B624">
        <v>273712658</v>
      </c>
      <c r="C624" s="11">
        <v>46223</v>
      </c>
      <c r="D624" s="1">
        <v>873888104705</v>
      </c>
      <c r="E624">
        <v>41488</v>
      </c>
      <c r="F624" t="s">
        <v>21</v>
      </c>
      <c r="G624" s="12">
        <v>0.73</v>
      </c>
      <c r="K624" s="12">
        <v>0</v>
      </c>
      <c r="L624" t="s">
        <v>20</v>
      </c>
      <c r="M624" s="3">
        <v>1146.7</v>
      </c>
      <c r="N624" s="3">
        <v>66</v>
      </c>
      <c r="O624"/>
      <c r="P624" s="3">
        <v>466.9</v>
      </c>
      <c r="Q624" s="13">
        <f t="shared" si="30"/>
        <v>0.38500865836563036</v>
      </c>
      <c r="R624" s="14">
        <f t="shared" si="31"/>
        <v>1679.6</v>
      </c>
      <c r="S624" s="15">
        <f t="shared" si="32"/>
        <v>1981.9279999999999</v>
      </c>
    </row>
    <row r="625" spans="1:19" x14ac:dyDescent="0.3">
      <c r="A625">
        <v>200010076</v>
      </c>
      <c r="B625">
        <v>273712658</v>
      </c>
      <c r="C625" s="11">
        <v>46223</v>
      </c>
      <c r="D625" s="1">
        <v>873888105149</v>
      </c>
      <c r="E625">
        <v>42083</v>
      </c>
      <c r="F625" t="s">
        <v>21</v>
      </c>
      <c r="G625" s="12">
        <v>0.5</v>
      </c>
      <c r="K625" s="12">
        <v>0</v>
      </c>
      <c r="L625" t="s">
        <v>20</v>
      </c>
      <c r="M625" s="3">
        <v>1031.7</v>
      </c>
      <c r="N625" s="3">
        <v>42.5</v>
      </c>
      <c r="O625"/>
      <c r="P625" s="3">
        <v>413.6</v>
      </c>
      <c r="Q625" s="13">
        <f t="shared" si="30"/>
        <v>0.38503072053621301</v>
      </c>
      <c r="R625" s="14">
        <f t="shared" si="31"/>
        <v>1487.8000000000002</v>
      </c>
      <c r="S625" s="15">
        <f t="shared" si="32"/>
        <v>1755.604</v>
      </c>
    </row>
    <row r="626" spans="1:19" x14ac:dyDescent="0.3">
      <c r="A626">
        <v>200010076</v>
      </c>
      <c r="B626">
        <v>273712658</v>
      </c>
      <c r="C626" s="11">
        <v>46223</v>
      </c>
      <c r="D626" s="1">
        <v>873888114500</v>
      </c>
      <c r="E626">
        <v>42077</v>
      </c>
      <c r="F626" t="s">
        <v>21</v>
      </c>
      <c r="G626" s="12">
        <v>0.5</v>
      </c>
      <c r="K626" s="12">
        <v>0</v>
      </c>
      <c r="L626" t="s">
        <v>20</v>
      </c>
      <c r="M626" s="3">
        <v>1031.7</v>
      </c>
      <c r="N626" s="3">
        <v>42.5</v>
      </c>
      <c r="O626"/>
      <c r="P626" s="3">
        <v>413.6</v>
      </c>
      <c r="Q626" s="13">
        <f t="shared" si="30"/>
        <v>0.38503072053621301</v>
      </c>
      <c r="R626" s="14">
        <f t="shared" si="31"/>
        <v>1487.8000000000002</v>
      </c>
      <c r="S626" s="15">
        <f t="shared" si="32"/>
        <v>1755.604</v>
      </c>
    </row>
    <row r="627" spans="1:19" x14ac:dyDescent="0.3">
      <c r="A627">
        <v>200010076</v>
      </c>
      <c r="B627">
        <v>273712658</v>
      </c>
      <c r="C627" s="11">
        <v>46223</v>
      </c>
      <c r="D627" s="1">
        <v>873888114831</v>
      </c>
      <c r="E627">
        <v>42049</v>
      </c>
      <c r="F627" t="s">
        <v>21</v>
      </c>
      <c r="G627" s="12">
        <v>0.5</v>
      </c>
      <c r="K627" s="12">
        <v>0</v>
      </c>
      <c r="L627" t="s">
        <v>20</v>
      </c>
      <c r="M627" s="3">
        <v>1031.7</v>
      </c>
      <c r="N627" s="3">
        <v>42.5</v>
      </c>
      <c r="O627"/>
      <c r="P627" s="3">
        <v>413.6</v>
      </c>
      <c r="Q627" s="13">
        <f t="shared" si="30"/>
        <v>0.38503072053621301</v>
      </c>
      <c r="R627" s="14">
        <f t="shared" si="31"/>
        <v>1487.8000000000002</v>
      </c>
      <c r="S627" s="15">
        <f t="shared" si="32"/>
        <v>1755.604</v>
      </c>
    </row>
    <row r="628" spans="1:19" x14ac:dyDescent="0.3">
      <c r="A628">
        <v>200010076</v>
      </c>
      <c r="B628">
        <v>273712658</v>
      </c>
      <c r="C628" s="11">
        <v>46223</v>
      </c>
      <c r="D628" s="1">
        <v>873888115610</v>
      </c>
      <c r="E628">
        <v>42082</v>
      </c>
      <c r="F628" t="s">
        <v>21</v>
      </c>
      <c r="G628" s="12">
        <v>0.5</v>
      </c>
      <c r="K628" s="12">
        <v>0</v>
      </c>
      <c r="L628" t="s">
        <v>20</v>
      </c>
      <c r="M628" s="3">
        <v>1031.7</v>
      </c>
      <c r="N628" s="3">
        <v>42.5</v>
      </c>
      <c r="O628"/>
      <c r="P628" s="3">
        <v>413.6</v>
      </c>
      <c r="Q628" s="13">
        <f t="shared" si="30"/>
        <v>0.38503072053621301</v>
      </c>
      <c r="R628" s="14">
        <f t="shared" si="31"/>
        <v>1487.8000000000002</v>
      </c>
      <c r="S628" s="15">
        <f t="shared" si="32"/>
        <v>1755.604</v>
      </c>
    </row>
    <row r="629" spans="1:19" x14ac:dyDescent="0.3">
      <c r="A629">
        <v>200010076</v>
      </c>
      <c r="B629">
        <v>273712658</v>
      </c>
      <c r="C629" s="11">
        <v>46223</v>
      </c>
      <c r="D629" s="1">
        <v>873888119487</v>
      </c>
      <c r="E629">
        <v>42061</v>
      </c>
      <c r="F629" t="s">
        <v>21</v>
      </c>
      <c r="G629" s="12">
        <v>0.5</v>
      </c>
      <c r="K629" s="12">
        <v>0</v>
      </c>
      <c r="L629" t="s">
        <v>20</v>
      </c>
      <c r="M629" s="3">
        <v>1031.7</v>
      </c>
      <c r="N629" s="3">
        <v>42.5</v>
      </c>
      <c r="O629"/>
      <c r="P629" s="3">
        <v>413.6</v>
      </c>
      <c r="Q629" s="13">
        <f t="shared" si="30"/>
        <v>0.38503072053621301</v>
      </c>
      <c r="R629" s="14">
        <f t="shared" si="31"/>
        <v>1487.8000000000002</v>
      </c>
      <c r="S629" s="15">
        <f t="shared" si="32"/>
        <v>1755.604</v>
      </c>
    </row>
    <row r="630" spans="1:19" x14ac:dyDescent="0.3">
      <c r="A630">
        <v>200010076</v>
      </c>
      <c r="B630">
        <v>273712658</v>
      </c>
      <c r="C630" s="11">
        <v>46223</v>
      </c>
      <c r="D630" s="1">
        <v>873888120219</v>
      </c>
      <c r="E630">
        <v>42037</v>
      </c>
      <c r="F630" t="s">
        <v>21</v>
      </c>
      <c r="G630" s="12">
        <v>0.5</v>
      </c>
      <c r="K630" s="12">
        <v>0</v>
      </c>
      <c r="L630" t="s">
        <v>20</v>
      </c>
      <c r="M630" s="3">
        <v>1031.7</v>
      </c>
      <c r="N630" s="3">
        <v>42.5</v>
      </c>
      <c r="O630"/>
      <c r="P630" s="3">
        <v>413.6</v>
      </c>
      <c r="Q630" s="13">
        <f t="shared" si="30"/>
        <v>0.38503072053621301</v>
      </c>
      <c r="R630" s="14">
        <f t="shared" si="31"/>
        <v>1487.8000000000002</v>
      </c>
      <c r="S630" s="15">
        <f t="shared" si="32"/>
        <v>1755.604</v>
      </c>
    </row>
    <row r="631" spans="1:19" x14ac:dyDescent="0.3">
      <c r="A631">
        <v>200010076</v>
      </c>
      <c r="B631">
        <v>273712658</v>
      </c>
      <c r="C631" s="11">
        <v>46223</v>
      </c>
      <c r="D631" s="1">
        <v>873888149295</v>
      </c>
      <c r="E631">
        <v>42074</v>
      </c>
      <c r="F631" t="s">
        <v>21</v>
      </c>
      <c r="G631" s="12">
        <v>0.5</v>
      </c>
      <c r="K631" s="12">
        <v>0</v>
      </c>
      <c r="L631" t="s">
        <v>20</v>
      </c>
      <c r="M631" s="3">
        <v>1031.7</v>
      </c>
      <c r="N631" s="3">
        <v>42.5</v>
      </c>
      <c r="O631"/>
      <c r="P631" s="3">
        <v>413.6</v>
      </c>
      <c r="Q631" s="13">
        <f t="shared" si="30"/>
        <v>0.38503072053621301</v>
      </c>
      <c r="R631" s="14">
        <f t="shared" si="31"/>
        <v>1487.8000000000002</v>
      </c>
      <c r="S631" s="15">
        <f t="shared" si="32"/>
        <v>1755.604</v>
      </c>
    </row>
    <row r="632" spans="1:19" x14ac:dyDescent="0.3">
      <c r="A632">
        <v>200010076</v>
      </c>
      <c r="B632">
        <v>273712658</v>
      </c>
      <c r="C632" s="11">
        <v>46223</v>
      </c>
      <c r="D632" s="1">
        <v>873888159940</v>
      </c>
      <c r="E632">
        <v>42046</v>
      </c>
      <c r="F632" t="s">
        <v>21</v>
      </c>
      <c r="G632" s="12">
        <v>0.5</v>
      </c>
      <c r="K632" s="12">
        <v>0</v>
      </c>
      <c r="L632" t="s">
        <v>20</v>
      </c>
      <c r="M632" s="3">
        <v>1031.7</v>
      </c>
      <c r="N632" s="3">
        <v>42.5</v>
      </c>
      <c r="O632"/>
      <c r="P632" s="3">
        <v>413.6</v>
      </c>
      <c r="Q632" s="13">
        <f t="shared" si="30"/>
        <v>0.38503072053621301</v>
      </c>
      <c r="R632" s="14">
        <f t="shared" si="31"/>
        <v>1487.8000000000002</v>
      </c>
      <c r="S632" s="15">
        <f t="shared" si="32"/>
        <v>1755.604</v>
      </c>
    </row>
    <row r="633" spans="1:19" x14ac:dyDescent="0.3">
      <c r="A633">
        <v>200010076</v>
      </c>
      <c r="B633">
        <v>273712658</v>
      </c>
      <c r="C633" s="11">
        <v>46223</v>
      </c>
      <c r="D633" s="1">
        <v>873888160716</v>
      </c>
      <c r="E633">
        <v>42068</v>
      </c>
      <c r="F633" t="s">
        <v>21</v>
      </c>
      <c r="G633" s="12">
        <v>0.5</v>
      </c>
      <c r="K633" s="12">
        <v>0</v>
      </c>
      <c r="L633" t="s">
        <v>20</v>
      </c>
      <c r="M633" s="3">
        <v>1031.7</v>
      </c>
      <c r="N633" s="3">
        <v>42.5</v>
      </c>
      <c r="O633"/>
      <c r="P633" s="3">
        <v>413.6</v>
      </c>
      <c r="Q633" s="13">
        <f t="shared" si="30"/>
        <v>0.38503072053621301</v>
      </c>
      <c r="R633" s="14">
        <f t="shared" si="31"/>
        <v>1487.8000000000002</v>
      </c>
      <c r="S633" s="15">
        <f t="shared" si="32"/>
        <v>1755.604</v>
      </c>
    </row>
    <row r="634" spans="1:19" x14ac:dyDescent="0.3">
      <c r="A634">
        <v>200010076</v>
      </c>
      <c r="B634">
        <v>273712658</v>
      </c>
      <c r="C634" s="11">
        <v>46223</v>
      </c>
      <c r="D634" s="1">
        <v>873888167515</v>
      </c>
      <c r="E634">
        <v>39822</v>
      </c>
      <c r="F634" t="s">
        <v>21</v>
      </c>
      <c r="G634" s="12">
        <v>0.91</v>
      </c>
      <c r="K634" s="12">
        <v>0</v>
      </c>
      <c r="L634" t="s">
        <v>20</v>
      </c>
      <c r="M634" s="3">
        <v>1146.7</v>
      </c>
      <c r="N634" s="3">
        <v>66</v>
      </c>
      <c r="O634"/>
      <c r="P634" s="3">
        <v>466.9</v>
      </c>
      <c r="Q634" s="13">
        <f t="shared" si="30"/>
        <v>0.38500865836563036</v>
      </c>
      <c r="R634" s="14">
        <f t="shared" si="31"/>
        <v>1679.6</v>
      </c>
      <c r="S634" s="15">
        <f t="shared" si="32"/>
        <v>1981.9279999999999</v>
      </c>
    </row>
    <row r="635" spans="1:19" x14ac:dyDescent="0.3">
      <c r="A635">
        <v>200010076</v>
      </c>
      <c r="B635">
        <v>273712658</v>
      </c>
      <c r="C635" s="11">
        <v>46223</v>
      </c>
      <c r="D635" s="1">
        <v>873888175822</v>
      </c>
      <c r="E635">
        <v>41646</v>
      </c>
      <c r="F635" t="s">
        <v>21</v>
      </c>
      <c r="G635" s="12">
        <v>0.5</v>
      </c>
      <c r="K635" s="12">
        <v>0</v>
      </c>
      <c r="L635" t="s">
        <v>20</v>
      </c>
      <c r="M635" s="3">
        <v>1031.7</v>
      </c>
      <c r="N635" s="3">
        <v>42.5</v>
      </c>
      <c r="O635"/>
      <c r="P635" s="3">
        <v>413.6</v>
      </c>
      <c r="Q635" s="13">
        <f t="shared" si="30"/>
        <v>0.38503072053621301</v>
      </c>
      <c r="R635" s="14">
        <f t="shared" si="31"/>
        <v>1487.8000000000002</v>
      </c>
      <c r="S635" s="15">
        <f t="shared" si="32"/>
        <v>1755.604</v>
      </c>
    </row>
    <row r="636" spans="1:19" x14ac:dyDescent="0.3">
      <c r="A636">
        <v>200010076</v>
      </c>
      <c r="B636">
        <v>273712658</v>
      </c>
      <c r="C636" s="11">
        <v>46223</v>
      </c>
      <c r="D636" s="1">
        <v>873888182950</v>
      </c>
      <c r="E636">
        <v>42089</v>
      </c>
      <c r="F636" t="s">
        <v>21</v>
      </c>
      <c r="G636" s="12">
        <v>0.5</v>
      </c>
      <c r="K636" s="12">
        <v>0</v>
      </c>
      <c r="L636" t="s">
        <v>20</v>
      </c>
      <c r="M636" s="3">
        <v>1031.7</v>
      </c>
      <c r="N636" s="3">
        <v>42.5</v>
      </c>
      <c r="O636"/>
      <c r="P636" s="3">
        <v>413.6</v>
      </c>
      <c r="Q636" s="13">
        <f t="shared" si="30"/>
        <v>0.38503072053621301</v>
      </c>
      <c r="R636" s="14">
        <f t="shared" si="31"/>
        <v>1487.8000000000002</v>
      </c>
      <c r="S636" s="15">
        <f t="shared" si="32"/>
        <v>1755.604</v>
      </c>
    </row>
    <row r="637" spans="1:19" x14ac:dyDescent="0.3">
      <c r="A637">
        <v>200010076</v>
      </c>
      <c r="B637">
        <v>273712658</v>
      </c>
      <c r="C637" s="11">
        <v>46223</v>
      </c>
      <c r="D637" s="1">
        <v>873888195088</v>
      </c>
      <c r="E637">
        <v>41929</v>
      </c>
      <c r="F637" t="s">
        <v>21</v>
      </c>
      <c r="G637" s="12">
        <v>0.5</v>
      </c>
      <c r="K637" s="12">
        <v>0</v>
      </c>
      <c r="L637" t="s">
        <v>20</v>
      </c>
      <c r="M637" s="3">
        <v>1031.7</v>
      </c>
      <c r="N637" s="3">
        <v>42.5</v>
      </c>
      <c r="O637"/>
      <c r="P637" s="3">
        <v>413.6</v>
      </c>
      <c r="Q637" s="13">
        <f t="shared" si="30"/>
        <v>0.38503072053621301</v>
      </c>
      <c r="R637" s="14">
        <f t="shared" si="31"/>
        <v>1487.8000000000002</v>
      </c>
      <c r="S637" s="15">
        <f t="shared" si="32"/>
        <v>1755.604</v>
      </c>
    </row>
    <row r="638" spans="1:19" x14ac:dyDescent="0.3">
      <c r="A638">
        <v>200010076</v>
      </c>
      <c r="B638">
        <v>273712658</v>
      </c>
      <c r="C638" s="11">
        <v>46223</v>
      </c>
      <c r="D638" s="1">
        <v>873888235394</v>
      </c>
      <c r="E638">
        <v>42079</v>
      </c>
      <c r="F638" t="s">
        <v>21</v>
      </c>
      <c r="G638" s="12">
        <v>0.5</v>
      </c>
      <c r="K638" s="12">
        <v>0</v>
      </c>
      <c r="L638" t="s">
        <v>20</v>
      </c>
      <c r="M638" s="3">
        <v>1031.7</v>
      </c>
      <c r="N638" s="3">
        <v>42.5</v>
      </c>
      <c r="O638"/>
      <c r="P638" s="3">
        <v>413.6</v>
      </c>
      <c r="Q638" s="13">
        <f t="shared" si="30"/>
        <v>0.38503072053621301</v>
      </c>
      <c r="R638" s="14">
        <f t="shared" si="31"/>
        <v>1487.8000000000002</v>
      </c>
      <c r="S638" s="15">
        <f t="shared" si="32"/>
        <v>1755.604</v>
      </c>
    </row>
    <row r="639" spans="1:19" x14ac:dyDescent="0.3">
      <c r="A639">
        <v>200010076</v>
      </c>
      <c r="B639">
        <v>273712658</v>
      </c>
      <c r="C639" s="11">
        <v>46223</v>
      </c>
      <c r="D639" s="1">
        <v>873888244930</v>
      </c>
      <c r="E639">
        <v>42038</v>
      </c>
      <c r="F639" t="s">
        <v>21</v>
      </c>
      <c r="G639" s="12">
        <v>0.5</v>
      </c>
      <c r="K639" s="12">
        <v>0</v>
      </c>
      <c r="L639" t="s">
        <v>20</v>
      </c>
      <c r="M639" s="3">
        <v>1031.7</v>
      </c>
      <c r="N639" s="3">
        <v>42.5</v>
      </c>
      <c r="O639"/>
      <c r="P639" s="3">
        <v>413.6</v>
      </c>
      <c r="Q639" s="13">
        <f t="shared" si="30"/>
        <v>0.38503072053621301</v>
      </c>
      <c r="R639" s="14">
        <f t="shared" si="31"/>
        <v>1487.8000000000002</v>
      </c>
      <c r="S639" s="15">
        <f t="shared" si="32"/>
        <v>1755.604</v>
      </c>
    </row>
    <row r="640" spans="1:19" x14ac:dyDescent="0.3">
      <c r="A640">
        <v>200010076</v>
      </c>
      <c r="B640">
        <v>273712658</v>
      </c>
      <c r="C640" s="11">
        <v>46223</v>
      </c>
      <c r="D640" s="1">
        <v>873929022749</v>
      </c>
      <c r="E640">
        <v>40776</v>
      </c>
      <c r="F640" t="s">
        <v>22</v>
      </c>
      <c r="G640" s="12">
        <v>5</v>
      </c>
      <c r="H640">
        <v>50</v>
      </c>
      <c r="I640">
        <v>24</v>
      </c>
      <c r="J640">
        <v>24</v>
      </c>
      <c r="K640" s="12">
        <v>5</v>
      </c>
      <c r="L640" t="s">
        <v>20</v>
      </c>
      <c r="M640" s="3">
        <v>2231.6999999999998</v>
      </c>
      <c r="N640" s="3">
        <v>330</v>
      </c>
      <c r="O640"/>
      <c r="P640" s="3">
        <v>986.3</v>
      </c>
      <c r="Q640" s="13">
        <f t="shared" si="30"/>
        <v>0.38501776164265916</v>
      </c>
      <c r="R640" s="14">
        <f t="shared" si="31"/>
        <v>3548</v>
      </c>
      <c r="S640" s="15">
        <f t="shared" si="32"/>
        <v>4186.6399999999994</v>
      </c>
    </row>
    <row r="641" spans="1:19" x14ac:dyDescent="0.3">
      <c r="A641">
        <v>200010076</v>
      </c>
      <c r="B641">
        <v>273712658</v>
      </c>
      <c r="C641" s="11">
        <v>46223</v>
      </c>
      <c r="D641" s="1">
        <v>873929024888</v>
      </c>
      <c r="E641">
        <v>39971</v>
      </c>
      <c r="F641" t="s">
        <v>22</v>
      </c>
      <c r="G641" s="12">
        <v>4.5</v>
      </c>
      <c r="H641">
        <v>47</v>
      </c>
      <c r="I641">
        <v>25</v>
      </c>
      <c r="J641">
        <v>23</v>
      </c>
      <c r="K641" s="12">
        <v>4.5</v>
      </c>
      <c r="L641" t="s">
        <v>20</v>
      </c>
      <c r="M641" s="3">
        <v>2098.9</v>
      </c>
      <c r="N641" s="3">
        <v>297</v>
      </c>
      <c r="O641"/>
      <c r="P641" s="3">
        <v>922.4</v>
      </c>
      <c r="Q641" s="13">
        <f t="shared" si="30"/>
        <v>0.38499102633665844</v>
      </c>
      <c r="R641" s="14">
        <f t="shared" si="31"/>
        <v>3318.3</v>
      </c>
      <c r="S641" s="15">
        <f t="shared" si="32"/>
        <v>3915.5940000000001</v>
      </c>
    </row>
    <row r="642" spans="1:19" x14ac:dyDescent="0.3">
      <c r="A642">
        <v>200010076</v>
      </c>
      <c r="B642">
        <v>273712658</v>
      </c>
      <c r="C642" s="11">
        <v>46223</v>
      </c>
      <c r="D642" s="1">
        <v>873929025417</v>
      </c>
      <c r="E642">
        <v>40152</v>
      </c>
      <c r="F642" t="s">
        <v>22</v>
      </c>
      <c r="G642" s="12">
        <v>19.5</v>
      </c>
      <c r="H642">
        <v>95</v>
      </c>
      <c r="I642">
        <v>35</v>
      </c>
      <c r="J642">
        <v>34</v>
      </c>
      <c r="K642" s="12">
        <v>19.5</v>
      </c>
      <c r="L642" t="s">
        <v>20</v>
      </c>
      <c r="M642" s="3">
        <v>7647.5</v>
      </c>
      <c r="N642" s="3">
        <v>1287</v>
      </c>
      <c r="O642"/>
      <c r="P642" s="3">
        <v>3439.8</v>
      </c>
      <c r="Q642" s="13">
        <f t="shared" si="30"/>
        <v>0.38500195869942361</v>
      </c>
      <c r="R642" s="14">
        <f t="shared" si="31"/>
        <v>12374.3</v>
      </c>
      <c r="S642" s="15">
        <f t="shared" si="32"/>
        <v>14601.673999999999</v>
      </c>
    </row>
    <row r="643" spans="1:19" x14ac:dyDescent="0.3">
      <c r="A643">
        <v>200010076</v>
      </c>
      <c r="B643">
        <v>273712658</v>
      </c>
      <c r="C643" s="11">
        <v>46223</v>
      </c>
      <c r="D643" s="1">
        <v>873929025586</v>
      </c>
      <c r="E643">
        <v>41434</v>
      </c>
      <c r="F643" t="s">
        <v>22</v>
      </c>
      <c r="G643" s="12">
        <v>10.5</v>
      </c>
      <c r="H643">
        <v>50</v>
      </c>
      <c r="I643">
        <v>36</v>
      </c>
      <c r="J643">
        <v>34</v>
      </c>
      <c r="K643" s="12">
        <v>10.5</v>
      </c>
      <c r="L643" t="s">
        <v>20</v>
      </c>
      <c r="M643" s="3">
        <v>4575.1000000000004</v>
      </c>
      <c r="N643" s="3">
        <v>693</v>
      </c>
      <c r="O643"/>
      <c r="P643" s="3">
        <v>2028.2</v>
      </c>
      <c r="Q643" s="13">
        <f t="shared" si="30"/>
        <v>0.38499648829748861</v>
      </c>
      <c r="R643" s="14">
        <f t="shared" si="31"/>
        <v>7296.3</v>
      </c>
      <c r="S643" s="15">
        <f t="shared" si="32"/>
        <v>8609.634</v>
      </c>
    </row>
    <row r="644" spans="1:19" x14ac:dyDescent="0.3">
      <c r="A644">
        <v>200010076</v>
      </c>
      <c r="B644">
        <v>273712658</v>
      </c>
      <c r="C644" s="11">
        <v>46223</v>
      </c>
      <c r="D644" s="1">
        <v>873929028405</v>
      </c>
      <c r="E644">
        <v>41048</v>
      </c>
      <c r="F644" t="s">
        <v>22</v>
      </c>
      <c r="G644" s="12">
        <v>8</v>
      </c>
      <c r="H644">
        <v>62</v>
      </c>
      <c r="I644">
        <v>27</v>
      </c>
      <c r="J644">
        <v>27</v>
      </c>
      <c r="K644" s="12">
        <v>8</v>
      </c>
      <c r="L644" t="s">
        <v>20</v>
      </c>
      <c r="M644" s="3">
        <v>3069.3</v>
      </c>
      <c r="N644" s="3">
        <v>528</v>
      </c>
      <c r="O644"/>
      <c r="P644" s="3">
        <v>1385</v>
      </c>
      <c r="Q644" s="13">
        <f t="shared" si="30"/>
        <v>0.38501098045756538</v>
      </c>
      <c r="R644" s="14">
        <f t="shared" si="31"/>
        <v>4982.3</v>
      </c>
      <c r="S644" s="15">
        <f t="shared" si="32"/>
        <v>5879.1139999999996</v>
      </c>
    </row>
    <row r="645" spans="1:19" x14ac:dyDescent="0.3">
      <c r="A645">
        <v>200010076</v>
      </c>
      <c r="B645">
        <v>273712658</v>
      </c>
      <c r="C645" s="11">
        <v>46223</v>
      </c>
      <c r="D645" s="1">
        <v>873929028850</v>
      </c>
      <c r="E645">
        <v>41271</v>
      </c>
      <c r="F645" t="s">
        <v>22</v>
      </c>
      <c r="G645" s="12">
        <v>5</v>
      </c>
      <c r="H645">
        <v>57</v>
      </c>
      <c r="I645">
        <v>24</v>
      </c>
      <c r="J645">
        <v>21</v>
      </c>
      <c r="K645" s="12">
        <v>5</v>
      </c>
      <c r="L645" t="s">
        <v>20</v>
      </c>
      <c r="M645" s="3">
        <v>2231.6999999999998</v>
      </c>
      <c r="N645" s="3">
        <v>330</v>
      </c>
      <c r="O645"/>
      <c r="P645" s="3">
        <v>986.3</v>
      </c>
      <c r="Q645" s="13">
        <f t="shared" si="30"/>
        <v>0.38501776164265916</v>
      </c>
      <c r="R645" s="14">
        <f t="shared" si="31"/>
        <v>3548</v>
      </c>
      <c r="S645" s="15">
        <f t="shared" si="32"/>
        <v>4186.6399999999994</v>
      </c>
    </row>
    <row r="646" spans="1:19" x14ac:dyDescent="0.3">
      <c r="A646">
        <v>200010076</v>
      </c>
      <c r="B646">
        <v>273712658</v>
      </c>
      <c r="C646" s="11">
        <v>46223</v>
      </c>
      <c r="D646" s="1">
        <v>873929029033</v>
      </c>
      <c r="E646">
        <v>41133</v>
      </c>
      <c r="F646" t="s">
        <v>22</v>
      </c>
      <c r="G646" s="12">
        <v>4</v>
      </c>
      <c r="H646">
        <v>51</v>
      </c>
      <c r="I646">
        <v>21</v>
      </c>
      <c r="J646">
        <v>20</v>
      </c>
      <c r="K646" s="12">
        <v>4</v>
      </c>
      <c r="L646" t="s">
        <v>20</v>
      </c>
      <c r="M646" s="3">
        <v>1966.1</v>
      </c>
      <c r="N646" s="3">
        <v>264</v>
      </c>
      <c r="O646"/>
      <c r="P646" s="3">
        <v>858.6</v>
      </c>
      <c r="Q646" s="13">
        <f t="shared" si="30"/>
        <v>0.38500515671942964</v>
      </c>
      <c r="R646" s="14">
        <f t="shared" si="31"/>
        <v>3088.7</v>
      </c>
      <c r="S646" s="15">
        <f t="shared" si="32"/>
        <v>3644.6659999999997</v>
      </c>
    </row>
    <row r="647" spans="1:19" x14ac:dyDescent="0.3">
      <c r="A647">
        <v>200010076</v>
      </c>
      <c r="B647">
        <v>273712658</v>
      </c>
      <c r="C647" s="11">
        <v>46223</v>
      </c>
      <c r="D647" s="1">
        <v>873929029180</v>
      </c>
      <c r="E647">
        <v>41421</v>
      </c>
      <c r="F647" t="s">
        <v>22</v>
      </c>
      <c r="G647" s="12">
        <v>3.5</v>
      </c>
      <c r="H647">
        <v>37</v>
      </c>
      <c r="I647">
        <v>23</v>
      </c>
      <c r="J647">
        <v>21</v>
      </c>
      <c r="K647" s="12">
        <v>3.5</v>
      </c>
      <c r="L647" t="s">
        <v>20</v>
      </c>
      <c r="M647" s="3">
        <v>1833.3</v>
      </c>
      <c r="N647" s="3">
        <v>231</v>
      </c>
      <c r="O647"/>
      <c r="P647" s="3">
        <v>794.8</v>
      </c>
      <c r="Q647" s="13">
        <f t="shared" si="30"/>
        <v>0.38502155694424256</v>
      </c>
      <c r="R647" s="14">
        <f t="shared" si="31"/>
        <v>2859.1000000000004</v>
      </c>
      <c r="S647" s="15">
        <f t="shared" si="32"/>
        <v>3373.7380000000003</v>
      </c>
    </row>
    <row r="648" spans="1:19" x14ac:dyDescent="0.3">
      <c r="A648">
        <v>200010076</v>
      </c>
      <c r="B648">
        <v>273712658</v>
      </c>
      <c r="C648" s="11">
        <v>46223</v>
      </c>
      <c r="D648" s="1">
        <v>873929032007</v>
      </c>
      <c r="E648">
        <v>39924</v>
      </c>
      <c r="F648" t="s">
        <v>22</v>
      </c>
      <c r="G648" s="12">
        <v>5</v>
      </c>
      <c r="H648">
        <v>62</v>
      </c>
      <c r="I648">
        <v>22</v>
      </c>
      <c r="J648">
        <v>20</v>
      </c>
      <c r="K648" s="12">
        <v>5</v>
      </c>
      <c r="L648" t="s">
        <v>20</v>
      </c>
      <c r="M648" s="3">
        <v>2231.6999999999998</v>
      </c>
      <c r="N648" s="3">
        <v>330</v>
      </c>
      <c r="O648"/>
      <c r="P648" s="3">
        <v>986.3</v>
      </c>
      <c r="Q648" s="13">
        <f t="shared" si="30"/>
        <v>0.38501776164265916</v>
      </c>
      <c r="R648" s="14">
        <f t="shared" si="31"/>
        <v>3548</v>
      </c>
      <c r="S648" s="15">
        <f t="shared" si="32"/>
        <v>4186.6399999999994</v>
      </c>
    </row>
    <row r="649" spans="1:19" x14ac:dyDescent="0.3">
      <c r="A649">
        <v>200010076</v>
      </c>
      <c r="B649">
        <v>273712658</v>
      </c>
      <c r="C649" s="11">
        <v>46223</v>
      </c>
      <c r="D649" s="1">
        <v>873929032636</v>
      </c>
      <c r="E649">
        <v>39796</v>
      </c>
      <c r="F649" t="s">
        <v>22</v>
      </c>
      <c r="G649" s="12">
        <v>4.5</v>
      </c>
      <c r="H649">
        <v>54</v>
      </c>
      <c r="I649">
        <v>22</v>
      </c>
      <c r="J649">
        <v>20</v>
      </c>
      <c r="K649" s="12">
        <v>4.5</v>
      </c>
      <c r="L649" t="s">
        <v>20</v>
      </c>
      <c r="M649" s="3">
        <v>2098.9</v>
      </c>
      <c r="N649" s="3">
        <v>297</v>
      </c>
      <c r="O649"/>
      <c r="P649" s="3">
        <v>922.4</v>
      </c>
      <c r="Q649" s="13">
        <f t="shared" si="30"/>
        <v>0.38499102633665844</v>
      </c>
      <c r="R649" s="14">
        <f t="shared" si="31"/>
        <v>3318.3</v>
      </c>
      <c r="S649" s="15">
        <f t="shared" si="32"/>
        <v>3915.5940000000001</v>
      </c>
    </row>
    <row r="650" spans="1:19" x14ac:dyDescent="0.3">
      <c r="A650">
        <v>200010076</v>
      </c>
      <c r="B650">
        <v>273712658</v>
      </c>
      <c r="C650" s="11">
        <v>46223</v>
      </c>
      <c r="D650" s="1">
        <v>873929032670</v>
      </c>
      <c r="E650">
        <v>41480</v>
      </c>
      <c r="F650" t="s">
        <v>22</v>
      </c>
      <c r="G650" s="12">
        <v>0.5</v>
      </c>
      <c r="H650">
        <v>46</v>
      </c>
      <c r="I650">
        <v>24</v>
      </c>
      <c r="J650">
        <v>24</v>
      </c>
      <c r="K650" s="12">
        <v>4.4000000000000004</v>
      </c>
      <c r="L650" t="s">
        <v>20</v>
      </c>
      <c r="M650" s="3">
        <v>2098.9</v>
      </c>
      <c r="N650" s="3">
        <v>297</v>
      </c>
      <c r="O650"/>
      <c r="P650" s="3">
        <v>922.4</v>
      </c>
      <c r="Q650" s="13">
        <f t="shared" si="30"/>
        <v>0.38499102633665844</v>
      </c>
      <c r="R650" s="14">
        <f t="shared" si="31"/>
        <v>3318.3</v>
      </c>
      <c r="S650" s="15">
        <f t="shared" si="32"/>
        <v>3915.5940000000001</v>
      </c>
    </row>
    <row r="651" spans="1:19" x14ac:dyDescent="0.3">
      <c r="A651">
        <v>200010076</v>
      </c>
      <c r="B651">
        <v>273712658</v>
      </c>
      <c r="C651" s="11">
        <v>46223</v>
      </c>
      <c r="D651" s="1">
        <v>873929032739</v>
      </c>
      <c r="E651">
        <v>7871489</v>
      </c>
      <c r="F651" t="s">
        <v>22</v>
      </c>
      <c r="G651" s="12">
        <v>9</v>
      </c>
      <c r="H651">
        <v>53</v>
      </c>
      <c r="I651">
        <v>42</v>
      </c>
      <c r="J651">
        <v>23</v>
      </c>
      <c r="K651" s="12">
        <v>9</v>
      </c>
      <c r="L651" t="s">
        <v>20</v>
      </c>
      <c r="M651" s="3">
        <v>3299.4</v>
      </c>
      <c r="N651" s="3">
        <v>594</v>
      </c>
      <c r="O651"/>
      <c r="P651" s="3">
        <v>1499</v>
      </c>
      <c r="Q651" s="13">
        <f t="shared" si="30"/>
        <v>0.38501053064159857</v>
      </c>
      <c r="R651" s="14">
        <f t="shared" si="31"/>
        <v>5392.4</v>
      </c>
      <c r="S651" s="15">
        <f t="shared" si="32"/>
        <v>6363.0319999999992</v>
      </c>
    </row>
    <row r="652" spans="1:19" x14ac:dyDescent="0.3">
      <c r="A652">
        <v>200010076</v>
      </c>
      <c r="B652">
        <v>273712658</v>
      </c>
      <c r="C652" s="11">
        <v>46223</v>
      </c>
      <c r="D652" s="1">
        <v>873929035197</v>
      </c>
      <c r="E652">
        <v>39324</v>
      </c>
      <c r="F652" t="s">
        <v>22</v>
      </c>
      <c r="G652" s="12">
        <v>6.5</v>
      </c>
      <c r="H652">
        <v>45</v>
      </c>
      <c r="I652">
        <v>30</v>
      </c>
      <c r="J652">
        <v>28</v>
      </c>
      <c r="K652" s="12">
        <v>6.5</v>
      </c>
      <c r="L652" t="s">
        <v>20</v>
      </c>
      <c r="M652" s="3">
        <v>2724.1</v>
      </c>
      <c r="N652" s="3">
        <v>429</v>
      </c>
      <c r="O652"/>
      <c r="P652" s="3">
        <v>1213.9000000000001</v>
      </c>
      <c r="Q652" s="13">
        <f t="shared" si="30"/>
        <v>0.38498620405315409</v>
      </c>
      <c r="R652" s="14">
        <f t="shared" si="31"/>
        <v>4367</v>
      </c>
      <c r="S652" s="15">
        <f t="shared" si="32"/>
        <v>5153.0599999999995</v>
      </c>
    </row>
    <row r="653" spans="1:19" x14ac:dyDescent="0.3">
      <c r="A653">
        <v>200010076</v>
      </c>
      <c r="B653">
        <v>273712658</v>
      </c>
      <c r="C653" s="11">
        <v>46223</v>
      </c>
      <c r="D653" s="1">
        <v>873929035290</v>
      </c>
      <c r="E653">
        <v>41054</v>
      </c>
      <c r="F653" t="s">
        <v>22</v>
      </c>
      <c r="G653" s="12">
        <v>5</v>
      </c>
      <c r="H653">
        <v>51</v>
      </c>
      <c r="I653">
        <v>23</v>
      </c>
      <c r="J653">
        <v>22</v>
      </c>
      <c r="K653" s="12">
        <v>5</v>
      </c>
      <c r="L653" t="s">
        <v>20</v>
      </c>
      <c r="M653" s="3">
        <v>2231.6999999999998</v>
      </c>
      <c r="N653" s="3">
        <v>330</v>
      </c>
      <c r="O653"/>
      <c r="P653" s="3">
        <v>986.3</v>
      </c>
      <c r="Q653" s="13">
        <f t="shared" si="30"/>
        <v>0.38501776164265916</v>
      </c>
      <c r="R653" s="14">
        <f t="shared" si="31"/>
        <v>3548</v>
      </c>
      <c r="S653" s="15">
        <f t="shared" si="32"/>
        <v>4186.6399999999994</v>
      </c>
    </row>
    <row r="654" spans="1:19" x14ac:dyDescent="0.3">
      <c r="A654">
        <v>200010076</v>
      </c>
      <c r="B654">
        <v>273712658</v>
      </c>
      <c r="C654" s="11">
        <v>46223</v>
      </c>
      <c r="D654" s="1">
        <v>873929035304</v>
      </c>
      <c r="E654">
        <v>37975</v>
      </c>
      <c r="F654" t="s">
        <v>22</v>
      </c>
      <c r="G654" s="12">
        <v>5</v>
      </c>
      <c r="H654">
        <v>62</v>
      </c>
      <c r="I654">
        <v>21</v>
      </c>
      <c r="J654">
        <v>21</v>
      </c>
      <c r="K654" s="12">
        <v>5</v>
      </c>
      <c r="L654" t="s">
        <v>20</v>
      </c>
      <c r="M654" s="3">
        <v>2231.6999999999998</v>
      </c>
      <c r="N654" s="3">
        <v>330</v>
      </c>
      <c r="O654"/>
      <c r="P654" s="3">
        <v>986.3</v>
      </c>
      <c r="Q654" s="13">
        <f t="shared" si="30"/>
        <v>0.38501776164265916</v>
      </c>
      <c r="R654" s="14">
        <f t="shared" si="31"/>
        <v>3548</v>
      </c>
      <c r="S654" s="15">
        <f t="shared" si="32"/>
        <v>4186.6399999999994</v>
      </c>
    </row>
    <row r="655" spans="1:19" x14ac:dyDescent="0.3">
      <c r="A655">
        <v>200010076</v>
      </c>
      <c r="B655">
        <v>273712658</v>
      </c>
      <c r="C655" s="11">
        <v>46223</v>
      </c>
      <c r="D655" s="1">
        <v>873929036285</v>
      </c>
      <c r="E655">
        <v>39972</v>
      </c>
      <c r="F655" t="s">
        <v>22</v>
      </c>
      <c r="G655" s="12">
        <v>2.5</v>
      </c>
      <c r="H655">
        <v>35</v>
      </c>
      <c r="I655">
        <v>19</v>
      </c>
      <c r="J655">
        <v>19</v>
      </c>
      <c r="K655" s="12">
        <v>2.5</v>
      </c>
      <c r="L655" t="s">
        <v>20</v>
      </c>
      <c r="M655" s="3">
        <v>1671.3</v>
      </c>
      <c r="N655" s="3">
        <v>165</v>
      </c>
      <c r="O655"/>
      <c r="P655" s="3">
        <v>707</v>
      </c>
      <c r="Q655" s="13">
        <f t="shared" si="30"/>
        <v>0.38501334204650656</v>
      </c>
      <c r="R655" s="14">
        <f t="shared" si="31"/>
        <v>2543.3000000000002</v>
      </c>
      <c r="S655" s="15">
        <f t="shared" si="32"/>
        <v>3001.0940000000001</v>
      </c>
    </row>
    <row r="656" spans="1:19" x14ac:dyDescent="0.3">
      <c r="A656">
        <v>200010076</v>
      </c>
      <c r="B656">
        <v>273712658</v>
      </c>
      <c r="C656" s="11">
        <v>46223</v>
      </c>
      <c r="D656" s="1">
        <v>873929037579</v>
      </c>
      <c r="E656">
        <v>40505</v>
      </c>
      <c r="F656" t="s">
        <v>22</v>
      </c>
      <c r="G656" s="12">
        <v>0.5</v>
      </c>
      <c r="H656">
        <v>46</v>
      </c>
      <c r="I656">
        <v>24</v>
      </c>
      <c r="J656">
        <v>23</v>
      </c>
      <c r="K656" s="12">
        <v>4.2</v>
      </c>
      <c r="L656" t="s">
        <v>20</v>
      </c>
      <c r="M656" s="3">
        <v>2098.9</v>
      </c>
      <c r="N656" s="3">
        <v>297</v>
      </c>
      <c r="O656"/>
      <c r="P656" s="3">
        <v>922.4</v>
      </c>
      <c r="Q656" s="13">
        <f t="shared" si="30"/>
        <v>0.38499102633665844</v>
      </c>
      <c r="R656" s="14">
        <f t="shared" si="31"/>
        <v>3318.3</v>
      </c>
      <c r="S656" s="15">
        <f t="shared" si="32"/>
        <v>3915.5940000000001</v>
      </c>
    </row>
    <row r="657" spans="1:19" x14ac:dyDescent="0.3">
      <c r="A657">
        <v>200010076</v>
      </c>
      <c r="B657">
        <v>273712658</v>
      </c>
      <c r="C657" s="11">
        <v>46223</v>
      </c>
      <c r="D657" s="1">
        <v>873929037682</v>
      </c>
      <c r="E657">
        <v>38987</v>
      </c>
      <c r="F657" t="s">
        <v>22</v>
      </c>
      <c r="G657" s="12">
        <v>4</v>
      </c>
      <c r="H657">
        <v>43</v>
      </c>
      <c r="I657">
        <v>23</v>
      </c>
      <c r="J657">
        <v>21</v>
      </c>
      <c r="K657" s="12">
        <v>4</v>
      </c>
      <c r="L657" t="s">
        <v>20</v>
      </c>
      <c r="M657" s="3">
        <v>1966.1</v>
      </c>
      <c r="N657" s="3">
        <v>264</v>
      </c>
      <c r="O657"/>
      <c r="P657" s="3">
        <v>858.6</v>
      </c>
      <c r="Q657" s="13">
        <f t="shared" si="30"/>
        <v>0.38500515671942964</v>
      </c>
      <c r="R657" s="14">
        <f t="shared" si="31"/>
        <v>3088.7</v>
      </c>
      <c r="S657" s="15">
        <f t="shared" si="32"/>
        <v>3644.6659999999997</v>
      </c>
    </row>
    <row r="658" spans="1:19" x14ac:dyDescent="0.3">
      <c r="A658">
        <v>200010076</v>
      </c>
      <c r="B658">
        <v>273712658</v>
      </c>
      <c r="C658" s="11">
        <v>46223</v>
      </c>
      <c r="D658" s="1">
        <v>873929038082</v>
      </c>
      <c r="E658">
        <v>41373</v>
      </c>
      <c r="F658" t="s">
        <v>22</v>
      </c>
      <c r="G658" s="12">
        <v>4.5</v>
      </c>
      <c r="H658">
        <v>54</v>
      </c>
      <c r="I658">
        <v>21</v>
      </c>
      <c r="J658">
        <v>21</v>
      </c>
      <c r="K658" s="12">
        <v>4.5</v>
      </c>
      <c r="L658" t="s">
        <v>20</v>
      </c>
      <c r="M658" s="3">
        <v>2098.9</v>
      </c>
      <c r="N658" s="3">
        <v>297</v>
      </c>
      <c r="O658"/>
      <c r="P658" s="3">
        <v>922.4</v>
      </c>
      <c r="Q658" s="13">
        <f t="shared" si="30"/>
        <v>0.38499102633665844</v>
      </c>
      <c r="R658" s="14">
        <f t="shared" si="31"/>
        <v>3318.3</v>
      </c>
      <c r="S658" s="15">
        <f t="shared" si="32"/>
        <v>3915.5940000000001</v>
      </c>
    </row>
    <row r="659" spans="1:19" x14ac:dyDescent="0.3">
      <c r="A659">
        <v>200010076</v>
      </c>
      <c r="B659">
        <v>273712658</v>
      </c>
      <c r="C659" s="11">
        <v>46223</v>
      </c>
      <c r="D659" s="1">
        <v>873929040428</v>
      </c>
      <c r="E659">
        <v>39914</v>
      </c>
      <c r="F659" t="s">
        <v>22</v>
      </c>
      <c r="G659" s="12">
        <v>5</v>
      </c>
      <c r="H659">
        <v>54</v>
      </c>
      <c r="I659">
        <v>23</v>
      </c>
      <c r="J659">
        <v>22</v>
      </c>
      <c r="K659" s="12">
        <v>5</v>
      </c>
      <c r="L659" t="s">
        <v>20</v>
      </c>
      <c r="M659" s="3">
        <v>2231.6999999999998</v>
      </c>
      <c r="N659" s="3">
        <v>330</v>
      </c>
      <c r="O659"/>
      <c r="P659" s="3">
        <v>986.3</v>
      </c>
      <c r="Q659" s="13">
        <f t="shared" si="30"/>
        <v>0.38501776164265916</v>
      </c>
      <c r="R659" s="14">
        <f t="shared" si="31"/>
        <v>3548</v>
      </c>
      <c r="S659" s="15">
        <f t="shared" si="32"/>
        <v>4186.6399999999994</v>
      </c>
    </row>
    <row r="660" spans="1:19" x14ac:dyDescent="0.3">
      <c r="A660">
        <v>200010076</v>
      </c>
      <c r="B660">
        <v>273712658</v>
      </c>
      <c r="C660" s="11">
        <v>46223</v>
      </c>
      <c r="D660" s="1">
        <v>873929041170</v>
      </c>
      <c r="E660">
        <v>40770</v>
      </c>
      <c r="F660" t="s">
        <v>22</v>
      </c>
      <c r="G660" s="12">
        <v>11.5</v>
      </c>
      <c r="H660">
        <v>86</v>
      </c>
      <c r="I660">
        <v>28</v>
      </c>
      <c r="J660">
        <v>27</v>
      </c>
      <c r="K660" s="12">
        <v>11.5</v>
      </c>
      <c r="L660" t="s">
        <v>20</v>
      </c>
      <c r="M660" s="3">
        <v>4916.5</v>
      </c>
      <c r="N660" s="3">
        <v>759</v>
      </c>
      <c r="O660"/>
      <c r="P660" s="3">
        <v>2185.1</v>
      </c>
      <c r="Q660" s="13">
        <f t="shared" si="30"/>
        <v>0.3850057263677209</v>
      </c>
      <c r="R660" s="14">
        <f t="shared" si="31"/>
        <v>7860.6</v>
      </c>
      <c r="S660" s="15">
        <f t="shared" si="32"/>
        <v>9275.5079999999998</v>
      </c>
    </row>
    <row r="661" spans="1:19" x14ac:dyDescent="0.3">
      <c r="A661">
        <v>200010076</v>
      </c>
      <c r="B661">
        <v>273712658</v>
      </c>
      <c r="C661" s="11">
        <v>46223</v>
      </c>
      <c r="D661" s="1">
        <v>873929042340</v>
      </c>
      <c r="E661">
        <v>41227</v>
      </c>
      <c r="F661" t="s">
        <v>22</v>
      </c>
      <c r="G661" s="12">
        <v>5.5</v>
      </c>
      <c r="H661">
        <v>52</v>
      </c>
      <c r="I661">
        <v>25</v>
      </c>
      <c r="J661">
        <v>24</v>
      </c>
      <c r="K661" s="12">
        <v>5.5</v>
      </c>
      <c r="L661" t="s">
        <v>20</v>
      </c>
      <c r="M661" s="3">
        <v>2494</v>
      </c>
      <c r="N661" s="3">
        <v>363</v>
      </c>
      <c r="O661"/>
      <c r="P661" s="3">
        <v>1100</v>
      </c>
      <c r="Q661" s="13">
        <f t="shared" si="30"/>
        <v>0.38501925096254813</v>
      </c>
      <c r="R661" s="14">
        <f t="shared" si="31"/>
        <v>3957</v>
      </c>
      <c r="S661" s="15">
        <f t="shared" si="32"/>
        <v>4669.2599999999993</v>
      </c>
    </row>
    <row r="662" spans="1:19" x14ac:dyDescent="0.3">
      <c r="A662">
        <v>200010076</v>
      </c>
      <c r="B662">
        <v>273712658</v>
      </c>
      <c r="C662" s="11">
        <v>46223</v>
      </c>
      <c r="D662" s="1">
        <v>873929042420</v>
      </c>
      <c r="E662">
        <v>38664</v>
      </c>
      <c r="F662" t="s">
        <v>22</v>
      </c>
      <c r="G662" s="12">
        <v>8.5</v>
      </c>
      <c r="H662">
        <v>55</v>
      </c>
      <c r="I662">
        <v>31</v>
      </c>
      <c r="J662">
        <v>28</v>
      </c>
      <c r="K662" s="12">
        <v>8.5</v>
      </c>
      <c r="L662" t="s">
        <v>20</v>
      </c>
      <c r="M662" s="3">
        <v>3184.4</v>
      </c>
      <c r="N662" s="3">
        <v>561</v>
      </c>
      <c r="O662"/>
      <c r="P662" s="3">
        <v>1442</v>
      </c>
      <c r="Q662" s="13">
        <f t="shared" si="30"/>
        <v>0.38500560687777008</v>
      </c>
      <c r="R662" s="14">
        <f t="shared" si="31"/>
        <v>5187.3999999999996</v>
      </c>
      <c r="S662" s="15">
        <f t="shared" si="32"/>
        <v>6121.1319999999996</v>
      </c>
    </row>
    <row r="663" spans="1:19" x14ac:dyDescent="0.3">
      <c r="A663">
        <v>200010076</v>
      </c>
      <c r="B663">
        <v>273712658</v>
      </c>
      <c r="C663" s="11">
        <v>46223</v>
      </c>
      <c r="D663" s="1">
        <v>873929043081</v>
      </c>
      <c r="E663">
        <v>41439</v>
      </c>
      <c r="F663" t="s">
        <v>22</v>
      </c>
      <c r="G663" s="12">
        <v>11.5</v>
      </c>
      <c r="H663">
        <v>71</v>
      </c>
      <c r="I663">
        <v>30</v>
      </c>
      <c r="J663">
        <v>30</v>
      </c>
      <c r="K663" s="12">
        <v>11.5</v>
      </c>
      <c r="L663" t="s">
        <v>20</v>
      </c>
      <c r="M663" s="3">
        <v>4916.5</v>
      </c>
      <c r="N663" s="3">
        <v>759</v>
      </c>
      <c r="O663"/>
      <c r="P663" s="3">
        <v>2185.1</v>
      </c>
      <c r="Q663" s="13">
        <f t="shared" si="30"/>
        <v>0.3850057263677209</v>
      </c>
      <c r="R663" s="14">
        <f t="shared" si="31"/>
        <v>7860.6</v>
      </c>
      <c r="S663" s="15">
        <f t="shared" si="32"/>
        <v>9275.5079999999998</v>
      </c>
    </row>
    <row r="664" spans="1:19" x14ac:dyDescent="0.3">
      <c r="A664">
        <v>200010076</v>
      </c>
      <c r="B664">
        <v>273712658</v>
      </c>
      <c r="C664" s="11">
        <v>46223</v>
      </c>
      <c r="D664" s="1">
        <v>873929044905</v>
      </c>
      <c r="E664">
        <v>41627</v>
      </c>
      <c r="F664" t="s">
        <v>22</v>
      </c>
      <c r="G664" s="12">
        <v>5.5</v>
      </c>
      <c r="H664">
        <v>56</v>
      </c>
      <c r="I664">
        <v>24</v>
      </c>
      <c r="J664">
        <v>22</v>
      </c>
      <c r="K664" s="12">
        <v>5.5</v>
      </c>
      <c r="L664" t="s">
        <v>20</v>
      </c>
      <c r="M664" s="3">
        <v>2494</v>
      </c>
      <c r="N664" s="3">
        <v>363</v>
      </c>
      <c r="O664"/>
      <c r="P664" s="3">
        <v>1100</v>
      </c>
      <c r="Q664" s="13">
        <f t="shared" si="30"/>
        <v>0.38501925096254813</v>
      </c>
      <c r="R664" s="14">
        <f t="shared" si="31"/>
        <v>3957</v>
      </c>
      <c r="S664" s="15">
        <f t="shared" si="32"/>
        <v>4669.2599999999993</v>
      </c>
    </row>
    <row r="665" spans="1:19" x14ac:dyDescent="0.3">
      <c r="A665">
        <v>200010076</v>
      </c>
      <c r="B665">
        <v>273712658</v>
      </c>
      <c r="C665" s="11">
        <v>46223</v>
      </c>
      <c r="D665" s="1">
        <v>873929045831</v>
      </c>
      <c r="E665">
        <v>41479</v>
      </c>
      <c r="F665" t="s">
        <v>22</v>
      </c>
      <c r="G665" s="12">
        <v>5.5</v>
      </c>
      <c r="H665">
        <v>45</v>
      </c>
      <c r="I665">
        <v>27</v>
      </c>
      <c r="J665">
        <v>26</v>
      </c>
      <c r="K665" s="12">
        <v>5.5</v>
      </c>
      <c r="L665" t="s">
        <v>20</v>
      </c>
      <c r="M665" s="3">
        <v>2494</v>
      </c>
      <c r="N665" s="3">
        <v>363</v>
      </c>
      <c r="O665"/>
      <c r="P665" s="3">
        <v>1100</v>
      </c>
      <c r="Q665" s="13">
        <f t="shared" si="30"/>
        <v>0.38501925096254813</v>
      </c>
      <c r="R665" s="14">
        <f t="shared" si="31"/>
        <v>3957</v>
      </c>
      <c r="S665" s="15">
        <f t="shared" si="32"/>
        <v>4669.2599999999993</v>
      </c>
    </row>
    <row r="666" spans="1:19" x14ac:dyDescent="0.3">
      <c r="A666">
        <v>200010076</v>
      </c>
      <c r="B666">
        <v>273712658</v>
      </c>
      <c r="C666" s="11">
        <v>46223</v>
      </c>
      <c r="D666" s="1">
        <v>873929046069</v>
      </c>
      <c r="E666">
        <v>41058</v>
      </c>
      <c r="F666" t="s">
        <v>22</v>
      </c>
      <c r="G666" s="12">
        <v>8.5</v>
      </c>
      <c r="H666">
        <v>56</v>
      </c>
      <c r="I666">
        <v>30</v>
      </c>
      <c r="J666">
        <v>29</v>
      </c>
      <c r="K666" s="12">
        <v>8.5</v>
      </c>
      <c r="L666" t="s">
        <v>20</v>
      </c>
      <c r="M666" s="3">
        <v>3184.4</v>
      </c>
      <c r="N666" s="3">
        <v>561</v>
      </c>
      <c r="O666"/>
      <c r="P666" s="3">
        <v>1442</v>
      </c>
      <c r="Q666" s="13">
        <f t="shared" si="30"/>
        <v>0.38500560687777008</v>
      </c>
      <c r="R666" s="14">
        <f t="shared" si="31"/>
        <v>5187.3999999999996</v>
      </c>
      <c r="S666" s="15">
        <f t="shared" si="32"/>
        <v>6121.1319999999996</v>
      </c>
    </row>
    <row r="667" spans="1:19" x14ac:dyDescent="0.3">
      <c r="A667">
        <v>200010076</v>
      </c>
      <c r="B667">
        <v>273712658</v>
      </c>
      <c r="C667" s="11">
        <v>46223</v>
      </c>
      <c r="D667" s="1">
        <v>873929046172</v>
      </c>
      <c r="E667">
        <v>41582</v>
      </c>
      <c r="F667" t="s">
        <v>22</v>
      </c>
      <c r="G667" s="12">
        <v>16</v>
      </c>
      <c r="H667">
        <v>88</v>
      </c>
      <c r="I667">
        <v>33</v>
      </c>
      <c r="J667">
        <v>32</v>
      </c>
      <c r="K667" s="12">
        <v>16</v>
      </c>
      <c r="L667" t="s">
        <v>20</v>
      </c>
      <c r="M667" s="3">
        <v>6452.6</v>
      </c>
      <c r="N667" s="3">
        <v>1056</v>
      </c>
      <c r="O667"/>
      <c r="P667" s="3">
        <v>2890.8</v>
      </c>
      <c r="Q667" s="13">
        <f t="shared" si="30"/>
        <v>0.38499853501318487</v>
      </c>
      <c r="R667" s="14">
        <f t="shared" si="31"/>
        <v>10399.400000000001</v>
      </c>
      <c r="S667" s="15">
        <f t="shared" si="32"/>
        <v>12271.292000000001</v>
      </c>
    </row>
    <row r="668" spans="1:19" x14ac:dyDescent="0.3">
      <c r="A668">
        <v>200010076</v>
      </c>
      <c r="B668">
        <v>273712658</v>
      </c>
      <c r="C668" s="11">
        <v>46223</v>
      </c>
      <c r="D668" s="1">
        <v>873929047640</v>
      </c>
      <c r="E668">
        <v>40428</v>
      </c>
      <c r="F668" t="s">
        <v>22</v>
      </c>
      <c r="G668" s="12">
        <v>0.68</v>
      </c>
      <c r="H668">
        <v>34</v>
      </c>
      <c r="I668">
        <v>11</v>
      </c>
      <c r="J668">
        <v>11</v>
      </c>
      <c r="K668" s="12">
        <v>0.7</v>
      </c>
      <c r="L668" t="s">
        <v>20</v>
      </c>
      <c r="M668" s="3">
        <v>1194.8</v>
      </c>
      <c r="N668" s="3">
        <v>66</v>
      </c>
      <c r="O668"/>
      <c r="P668" s="3">
        <v>485.4</v>
      </c>
      <c r="Q668" s="13">
        <f t="shared" si="30"/>
        <v>0.384993654822335</v>
      </c>
      <c r="R668" s="14">
        <f t="shared" si="31"/>
        <v>1746.1999999999998</v>
      </c>
      <c r="S668" s="15">
        <f t="shared" si="32"/>
        <v>2060.5159999999996</v>
      </c>
    </row>
    <row r="669" spans="1:19" x14ac:dyDescent="0.3">
      <c r="A669">
        <v>200010076</v>
      </c>
      <c r="B669">
        <v>273712658</v>
      </c>
      <c r="C669" s="11">
        <v>46223</v>
      </c>
      <c r="D669" s="1">
        <v>873929047890</v>
      </c>
      <c r="E669">
        <v>4094275859</v>
      </c>
      <c r="F669" t="s">
        <v>22</v>
      </c>
      <c r="G669" s="12">
        <v>6.5</v>
      </c>
      <c r="H669">
        <v>55</v>
      </c>
      <c r="I669">
        <v>26</v>
      </c>
      <c r="J669">
        <v>26</v>
      </c>
      <c r="K669" s="12">
        <v>6.5</v>
      </c>
      <c r="L669" t="s">
        <v>20</v>
      </c>
      <c r="M669" s="3">
        <v>2724.1</v>
      </c>
      <c r="N669" s="3">
        <v>429</v>
      </c>
      <c r="O669"/>
      <c r="P669" s="3">
        <v>1213.9000000000001</v>
      </c>
      <c r="Q669" s="13">
        <f t="shared" si="30"/>
        <v>0.38498620405315409</v>
      </c>
      <c r="R669" s="14">
        <f t="shared" si="31"/>
        <v>4367</v>
      </c>
      <c r="S669" s="15">
        <f t="shared" si="32"/>
        <v>5153.0599999999995</v>
      </c>
    </row>
    <row r="670" spans="1:19" x14ac:dyDescent="0.3">
      <c r="A670">
        <v>200010076</v>
      </c>
      <c r="B670">
        <v>273712658</v>
      </c>
      <c r="C670" s="11">
        <v>46223</v>
      </c>
      <c r="D670" s="1">
        <v>873929048245</v>
      </c>
      <c r="E670">
        <v>4096926760</v>
      </c>
      <c r="F670" t="s">
        <v>22</v>
      </c>
      <c r="G670" s="12">
        <v>7.5</v>
      </c>
      <c r="H670">
        <v>51</v>
      </c>
      <c r="I670">
        <v>31</v>
      </c>
      <c r="J670">
        <v>27</v>
      </c>
      <c r="K670" s="12">
        <v>7.5</v>
      </c>
      <c r="L670" t="s">
        <v>20</v>
      </c>
      <c r="M670" s="3">
        <v>2954.2</v>
      </c>
      <c r="N670" s="3">
        <v>495</v>
      </c>
      <c r="O670"/>
      <c r="P670" s="3">
        <v>1327.9</v>
      </c>
      <c r="Q670" s="13">
        <f t="shared" si="30"/>
        <v>0.38498782326336545</v>
      </c>
      <c r="R670" s="14">
        <f t="shared" si="31"/>
        <v>4777.1000000000004</v>
      </c>
      <c r="S670" s="15">
        <f t="shared" si="32"/>
        <v>5636.9780000000001</v>
      </c>
    </row>
    <row r="671" spans="1:19" x14ac:dyDescent="0.3">
      <c r="A671">
        <v>200010076</v>
      </c>
      <c r="B671">
        <v>273712658</v>
      </c>
      <c r="C671" s="11">
        <v>46223</v>
      </c>
      <c r="D671" s="1">
        <v>873929048900</v>
      </c>
      <c r="E671">
        <v>41752</v>
      </c>
      <c r="F671" t="s">
        <v>22</v>
      </c>
      <c r="G671" s="12">
        <v>2.27</v>
      </c>
      <c r="H671">
        <v>33</v>
      </c>
      <c r="I671">
        <v>22</v>
      </c>
      <c r="J671">
        <v>15</v>
      </c>
      <c r="K671" s="12">
        <v>2.2999999999999998</v>
      </c>
      <c r="L671" t="s">
        <v>20</v>
      </c>
      <c r="M671" s="3">
        <v>1671.3</v>
      </c>
      <c r="N671" s="3">
        <v>165</v>
      </c>
      <c r="O671"/>
      <c r="P671" s="3">
        <v>707</v>
      </c>
      <c r="Q671" s="13">
        <f t="shared" si="30"/>
        <v>0.38501334204650656</v>
      </c>
      <c r="R671" s="14">
        <f t="shared" si="31"/>
        <v>2543.3000000000002</v>
      </c>
      <c r="S671" s="15">
        <f t="shared" si="32"/>
        <v>3001.0940000000001</v>
      </c>
    </row>
    <row r="672" spans="1:19" x14ac:dyDescent="0.3">
      <c r="A672">
        <v>200010076</v>
      </c>
      <c r="B672">
        <v>273712658</v>
      </c>
      <c r="C672" s="11">
        <v>46223</v>
      </c>
      <c r="D672" s="1">
        <v>873929049653</v>
      </c>
      <c r="E672">
        <v>41589</v>
      </c>
      <c r="F672" t="s">
        <v>22</v>
      </c>
      <c r="G672" s="12">
        <v>6</v>
      </c>
      <c r="H672">
        <v>34</v>
      </c>
      <c r="I672">
        <v>33</v>
      </c>
      <c r="J672">
        <v>32</v>
      </c>
      <c r="K672" s="12">
        <v>6</v>
      </c>
      <c r="L672" t="s">
        <v>20</v>
      </c>
      <c r="M672" s="3">
        <v>2609.1</v>
      </c>
      <c r="N672" s="3">
        <v>396</v>
      </c>
      <c r="O672"/>
      <c r="P672" s="3">
        <v>1157</v>
      </c>
      <c r="Q672" s="13">
        <f t="shared" si="30"/>
        <v>0.38501214601843536</v>
      </c>
      <c r="R672" s="14">
        <f t="shared" si="31"/>
        <v>4162.1000000000004</v>
      </c>
      <c r="S672" s="15">
        <f t="shared" si="32"/>
        <v>4911.2780000000002</v>
      </c>
    </row>
    <row r="673" spans="1:19" x14ac:dyDescent="0.3">
      <c r="A673">
        <v>200010076</v>
      </c>
      <c r="B673">
        <v>273712658</v>
      </c>
      <c r="C673" s="11">
        <v>46223</v>
      </c>
      <c r="D673" s="1">
        <v>873929050852</v>
      </c>
      <c r="E673">
        <v>39785</v>
      </c>
      <c r="F673" t="s">
        <v>22</v>
      </c>
      <c r="G673" s="12">
        <v>4.5</v>
      </c>
      <c r="H673">
        <v>60</v>
      </c>
      <c r="I673">
        <v>20</v>
      </c>
      <c r="J673">
        <v>20</v>
      </c>
      <c r="K673" s="12">
        <v>4.5</v>
      </c>
      <c r="L673" t="s">
        <v>20</v>
      </c>
      <c r="M673" s="3">
        <v>2098.9</v>
      </c>
      <c r="N673" s="3">
        <v>297</v>
      </c>
      <c r="O673"/>
      <c r="P673" s="3">
        <v>922.4</v>
      </c>
      <c r="Q673" s="13">
        <f t="shared" si="30"/>
        <v>0.38499102633665844</v>
      </c>
      <c r="R673" s="14">
        <f t="shared" si="31"/>
        <v>3318.3</v>
      </c>
      <c r="S673" s="15">
        <f t="shared" si="32"/>
        <v>3915.5940000000001</v>
      </c>
    </row>
    <row r="674" spans="1:19" x14ac:dyDescent="0.3">
      <c r="A674">
        <v>200010076</v>
      </c>
      <c r="B674">
        <v>273712658</v>
      </c>
      <c r="C674" s="11">
        <v>46223</v>
      </c>
      <c r="D674" s="1">
        <v>873929053689</v>
      </c>
      <c r="E674">
        <v>40886</v>
      </c>
      <c r="F674" t="s">
        <v>22</v>
      </c>
      <c r="G674" s="12">
        <v>15</v>
      </c>
      <c r="H674">
        <v>72</v>
      </c>
      <c r="I674">
        <v>35</v>
      </c>
      <c r="J674">
        <v>35</v>
      </c>
      <c r="K674" s="12">
        <v>15</v>
      </c>
      <c r="L674" t="s">
        <v>20</v>
      </c>
      <c r="M674" s="3">
        <v>6111.3</v>
      </c>
      <c r="N674" s="3">
        <v>990</v>
      </c>
      <c r="O674"/>
      <c r="P674" s="3">
        <v>2734</v>
      </c>
      <c r="Q674" s="13">
        <f t="shared" si="30"/>
        <v>0.38499992959035667</v>
      </c>
      <c r="R674" s="14">
        <f t="shared" si="31"/>
        <v>9835.2999999999993</v>
      </c>
      <c r="S674" s="15">
        <f t="shared" si="32"/>
        <v>11605.653999999999</v>
      </c>
    </row>
    <row r="675" spans="1:19" x14ac:dyDescent="0.3">
      <c r="A675">
        <v>200010076</v>
      </c>
      <c r="B675">
        <v>273712658</v>
      </c>
      <c r="C675" s="11">
        <v>46223</v>
      </c>
      <c r="D675" s="1">
        <v>873929053895</v>
      </c>
      <c r="E675">
        <v>39574</v>
      </c>
      <c r="F675" t="s">
        <v>22</v>
      </c>
      <c r="G675" s="12">
        <v>3.5</v>
      </c>
      <c r="H675">
        <v>49</v>
      </c>
      <c r="I675">
        <v>19</v>
      </c>
      <c r="J675">
        <v>19</v>
      </c>
      <c r="K675" s="12">
        <v>3.5</v>
      </c>
      <c r="L675" t="s">
        <v>20</v>
      </c>
      <c r="M675" s="3">
        <v>1833.3</v>
      </c>
      <c r="N675" s="3">
        <v>231</v>
      </c>
      <c r="O675"/>
      <c r="P675" s="3">
        <v>794.8</v>
      </c>
      <c r="Q675" s="13">
        <f t="shared" si="30"/>
        <v>0.38502155694424256</v>
      </c>
      <c r="R675" s="14">
        <f t="shared" si="31"/>
        <v>2859.1000000000004</v>
      </c>
      <c r="S675" s="15">
        <f t="shared" si="32"/>
        <v>3373.7380000000003</v>
      </c>
    </row>
    <row r="676" spans="1:19" x14ac:dyDescent="0.3">
      <c r="A676">
        <v>200010076</v>
      </c>
      <c r="B676">
        <v>273712658</v>
      </c>
      <c r="C676" s="11">
        <v>46223</v>
      </c>
      <c r="D676" s="1">
        <v>873929056986</v>
      </c>
      <c r="E676">
        <v>39931</v>
      </c>
      <c r="F676" t="s">
        <v>22</v>
      </c>
      <c r="G676" s="12">
        <v>2.5</v>
      </c>
      <c r="H676">
        <v>61</v>
      </c>
      <c r="I676">
        <v>15</v>
      </c>
      <c r="J676">
        <v>14</v>
      </c>
      <c r="K676" s="12">
        <v>2.5</v>
      </c>
      <c r="L676" t="s">
        <v>20</v>
      </c>
      <c r="M676" s="3">
        <v>1671.3</v>
      </c>
      <c r="N676" s="3">
        <v>165</v>
      </c>
      <c r="O676"/>
      <c r="P676" s="3">
        <v>707</v>
      </c>
      <c r="Q676" s="13">
        <f t="shared" si="30"/>
        <v>0.38501334204650656</v>
      </c>
      <c r="R676" s="14">
        <f t="shared" si="31"/>
        <v>2543.3000000000002</v>
      </c>
      <c r="S676" s="15">
        <f t="shared" si="32"/>
        <v>3001.0940000000001</v>
      </c>
    </row>
    <row r="677" spans="1:19" x14ac:dyDescent="0.3">
      <c r="A677">
        <v>200010076</v>
      </c>
      <c r="B677">
        <v>273712658</v>
      </c>
      <c r="C677" s="11">
        <v>46223</v>
      </c>
      <c r="D677" s="1">
        <v>873929058636</v>
      </c>
      <c r="E677">
        <v>39668</v>
      </c>
      <c r="F677" t="s">
        <v>22</v>
      </c>
      <c r="G677" s="12">
        <v>5.5</v>
      </c>
      <c r="H677">
        <v>50</v>
      </c>
      <c r="I677">
        <v>25</v>
      </c>
      <c r="J677">
        <v>24</v>
      </c>
      <c r="K677" s="12">
        <v>5.5</v>
      </c>
      <c r="L677" t="s">
        <v>20</v>
      </c>
      <c r="M677" s="3">
        <v>2494</v>
      </c>
      <c r="N677" s="3">
        <v>363</v>
      </c>
      <c r="O677"/>
      <c r="P677" s="3">
        <v>1100</v>
      </c>
      <c r="Q677" s="13">
        <f t="shared" si="30"/>
        <v>0.38501925096254813</v>
      </c>
      <c r="R677" s="14">
        <f t="shared" si="31"/>
        <v>3957</v>
      </c>
      <c r="S677" s="15">
        <f t="shared" si="32"/>
        <v>4669.2599999999993</v>
      </c>
    </row>
    <row r="678" spans="1:19" x14ac:dyDescent="0.3">
      <c r="A678">
        <v>200010076</v>
      </c>
      <c r="B678">
        <v>273712658</v>
      </c>
      <c r="C678" s="11">
        <v>46223</v>
      </c>
      <c r="D678" s="1">
        <v>873929059963</v>
      </c>
      <c r="E678">
        <v>40368</v>
      </c>
      <c r="F678" t="s">
        <v>22</v>
      </c>
      <c r="G678" s="12">
        <v>9</v>
      </c>
      <c r="H678">
        <v>64</v>
      </c>
      <c r="I678">
        <v>28</v>
      </c>
      <c r="J678">
        <v>28</v>
      </c>
      <c r="K678" s="12">
        <v>9</v>
      </c>
      <c r="L678" t="s">
        <v>20</v>
      </c>
      <c r="M678" s="3">
        <v>3299.4</v>
      </c>
      <c r="N678" s="3">
        <v>594</v>
      </c>
      <c r="O678"/>
      <c r="P678" s="3">
        <v>1499</v>
      </c>
      <c r="Q678" s="13">
        <f t="shared" si="30"/>
        <v>0.38501053064159857</v>
      </c>
      <c r="R678" s="14">
        <f t="shared" si="31"/>
        <v>5392.4</v>
      </c>
      <c r="S678" s="15">
        <f t="shared" si="32"/>
        <v>6363.0319999999992</v>
      </c>
    </row>
    <row r="679" spans="1:19" x14ac:dyDescent="0.3">
      <c r="A679">
        <v>200010076</v>
      </c>
      <c r="B679">
        <v>273712658</v>
      </c>
      <c r="C679" s="11">
        <v>46223</v>
      </c>
      <c r="D679" s="1">
        <v>873929061882</v>
      </c>
      <c r="E679">
        <v>39944</v>
      </c>
      <c r="F679" t="s">
        <v>22</v>
      </c>
      <c r="G679" s="12">
        <v>36.5</v>
      </c>
      <c r="H679">
        <v>75</v>
      </c>
      <c r="I679">
        <v>55</v>
      </c>
      <c r="J679">
        <v>53</v>
      </c>
      <c r="K679" s="12">
        <v>36.5</v>
      </c>
      <c r="L679" t="s">
        <v>20</v>
      </c>
      <c r="M679" s="3">
        <v>14291.2</v>
      </c>
      <c r="N679" s="3">
        <v>2409</v>
      </c>
      <c r="O679">
        <v>2235</v>
      </c>
      <c r="P679" s="3">
        <v>7290.1</v>
      </c>
      <c r="Q679" s="13">
        <f t="shared" si="30"/>
        <v>0.38500253496134185</v>
      </c>
      <c r="R679" s="14">
        <f t="shared" si="31"/>
        <v>26225.300000000003</v>
      </c>
      <c r="S679" s="15">
        <f t="shared" si="32"/>
        <v>30945.854000000003</v>
      </c>
    </row>
    <row r="680" spans="1:19" x14ac:dyDescent="0.3">
      <c r="A680">
        <v>200010076</v>
      </c>
      <c r="B680">
        <v>273712658</v>
      </c>
      <c r="C680" s="11">
        <v>46223</v>
      </c>
      <c r="D680" s="1">
        <v>873929062374</v>
      </c>
      <c r="E680">
        <v>39768</v>
      </c>
      <c r="F680" t="s">
        <v>22</v>
      </c>
      <c r="G680" s="12">
        <v>2</v>
      </c>
      <c r="H680">
        <v>51</v>
      </c>
      <c r="I680">
        <v>18</v>
      </c>
      <c r="J680">
        <v>18</v>
      </c>
      <c r="K680" s="12">
        <v>2.7</v>
      </c>
      <c r="L680" t="s">
        <v>20</v>
      </c>
      <c r="M680" s="3">
        <v>1700.6</v>
      </c>
      <c r="N680" s="3">
        <v>198</v>
      </c>
      <c r="O680"/>
      <c r="P680" s="3">
        <v>731</v>
      </c>
      <c r="Q680" s="13">
        <f t="shared" si="30"/>
        <v>0.38502054145159592</v>
      </c>
      <c r="R680" s="14">
        <f t="shared" si="31"/>
        <v>2629.6</v>
      </c>
      <c r="S680" s="15">
        <f t="shared" si="32"/>
        <v>3102.9279999999999</v>
      </c>
    </row>
    <row r="681" spans="1:19" x14ac:dyDescent="0.3">
      <c r="A681">
        <v>200010076</v>
      </c>
      <c r="B681">
        <v>273712658</v>
      </c>
      <c r="C681" s="11">
        <v>46223</v>
      </c>
      <c r="D681" s="1">
        <v>873929063290</v>
      </c>
      <c r="E681">
        <v>41437</v>
      </c>
      <c r="F681" t="s">
        <v>22</v>
      </c>
      <c r="G681" s="12">
        <v>2.13</v>
      </c>
      <c r="H681">
        <v>31</v>
      </c>
      <c r="I681">
        <v>22</v>
      </c>
      <c r="J681">
        <v>13</v>
      </c>
      <c r="K681" s="12">
        <v>2.1</v>
      </c>
      <c r="L681" t="s">
        <v>20</v>
      </c>
      <c r="M681" s="3">
        <v>1671.3</v>
      </c>
      <c r="N681" s="3">
        <v>165</v>
      </c>
      <c r="O681"/>
      <c r="P681" s="3">
        <v>707</v>
      </c>
      <c r="Q681" s="13">
        <f t="shared" si="30"/>
        <v>0.38501334204650656</v>
      </c>
      <c r="R681" s="14">
        <f t="shared" si="31"/>
        <v>2543.3000000000002</v>
      </c>
      <c r="S681" s="15">
        <f t="shared" si="32"/>
        <v>3001.0940000000001</v>
      </c>
    </row>
    <row r="682" spans="1:19" x14ac:dyDescent="0.3">
      <c r="A682">
        <v>200010076</v>
      </c>
      <c r="B682">
        <v>273712658</v>
      </c>
      <c r="C682" s="11">
        <v>46223</v>
      </c>
      <c r="D682" s="1">
        <v>873929065682</v>
      </c>
      <c r="E682">
        <v>39913</v>
      </c>
      <c r="F682" t="s">
        <v>22</v>
      </c>
      <c r="G682" s="12">
        <v>5.5</v>
      </c>
      <c r="H682">
        <v>56</v>
      </c>
      <c r="I682">
        <v>24</v>
      </c>
      <c r="J682">
        <v>22</v>
      </c>
      <c r="K682" s="12">
        <v>5.5</v>
      </c>
      <c r="L682" t="s">
        <v>20</v>
      </c>
      <c r="M682" s="3">
        <v>2494</v>
      </c>
      <c r="N682" s="3">
        <v>363</v>
      </c>
      <c r="O682"/>
      <c r="P682" s="3">
        <v>1100</v>
      </c>
      <c r="Q682" s="13">
        <f t="shared" si="30"/>
        <v>0.38501925096254813</v>
      </c>
      <c r="R682" s="14">
        <f t="shared" si="31"/>
        <v>3957</v>
      </c>
      <c r="S682" s="15">
        <f t="shared" si="32"/>
        <v>4669.2599999999993</v>
      </c>
    </row>
    <row r="683" spans="1:19" x14ac:dyDescent="0.3">
      <c r="A683">
        <v>200010076</v>
      </c>
      <c r="B683">
        <v>273712658</v>
      </c>
      <c r="C683" s="11">
        <v>46223</v>
      </c>
      <c r="D683" s="1">
        <v>873929065914</v>
      </c>
      <c r="E683">
        <v>41680</v>
      </c>
      <c r="F683" t="s">
        <v>22</v>
      </c>
      <c r="G683" s="12">
        <v>5.5</v>
      </c>
      <c r="H683">
        <v>52</v>
      </c>
      <c r="I683">
        <v>25</v>
      </c>
      <c r="J683">
        <v>24</v>
      </c>
      <c r="K683" s="12">
        <v>5.5</v>
      </c>
      <c r="L683" t="s">
        <v>20</v>
      </c>
      <c r="M683" s="3">
        <v>2494</v>
      </c>
      <c r="N683" s="3">
        <v>363</v>
      </c>
      <c r="O683"/>
      <c r="P683" s="3">
        <v>1100</v>
      </c>
      <c r="Q683" s="13">
        <f t="shared" si="30"/>
        <v>0.38501925096254813</v>
      </c>
      <c r="R683" s="14">
        <f t="shared" si="31"/>
        <v>3957</v>
      </c>
      <c r="S683" s="15">
        <f t="shared" si="32"/>
        <v>4669.2599999999993</v>
      </c>
    </row>
    <row r="684" spans="1:19" x14ac:dyDescent="0.3">
      <c r="A684">
        <v>200010076</v>
      </c>
      <c r="B684">
        <v>273712658</v>
      </c>
      <c r="C684" s="11">
        <v>46223</v>
      </c>
      <c r="D684" s="1">
        <v>873929066016</v>
      </c>
      <c r="E684">
        <v>41313</v>
      </c>
      <c r="F684" t="s">
        <v>22</v>
      </c>
      <c r="G684" s="12">
        <v>2</v>
      </c>
      <c r="H684">
        <v>53</v>
      </c>
      <c r="I684">
        <v>14</v>
      </c>
      <c r="J684">
        <v>13</v>
      </c>
      <c r="K684" s="12">
        <v>2</v>
      </c>
      <c r="L684" t="s">
        <v>20</v>
      </c>
      <c r="M684" s="3">
        <v>1512.5</v>
      </c>
      <c r="N684" s="3">
        <v>132</v>
      </c>
      <c r="O684"/>
      <c r="P684" s="3">
        <v>633.1</v>
      </c>
      <c r="Q684" s="13">
        <f t="shared" ref="Q684:Q747" si="33">+P684/SUM(M684:O684)</f>
        <v>0.3849802371541502</v>
      </c>
      <c r="R684" s="14">
        <f t="shared" ref="R684:R747" si="34">SUM(M684:P684)</f>
        <v>2277.6</v>
      </c>
      <c r="S684" s="15">
        <f t="shared" ref="S684:S747" si="35">+R684*1.18</f>
        <v>2687.5679999999998</v>
      </c>
    </row>
    <row r="685" spans="1:19" x14ac:dyDescent="0.3">
      <c r="A685">
        <v>200010076</v>
      </c>
      <c r="B685">
        <v>273712658</v>
      </c>
      <c r="C685" s="11">
        <v>46223</v>
      </c>
      <c r="D685" s="1">
        <v>873929068648</v>
      </c>
      <c r="E685">
        <v>39240</v>
      </c>
      <c r="F685" t="s">
        <v>22</v>
      </c>
      <c r="G685" s="12">
        <v>18</v>
      </c>
      <c r="H685">
        <v>75</v>
      </c>
      <c r="I685">
        <v>37</v>
      </c>
      <c r="J685">
        <v>37</v>
      </c>
      <c r="K685" s="12">
        <v>18</v>
      </c>
      <c r="L685" t="s">
        <v>20</v>
      </c>
      <c r="M685" s="3">
        <v>7135.4</v>
      </c>
      <c r="N685" s="3">
        <v>1188</v>
      </c>
      <c r="O685"/>
      <c r="P685" s="3">
        <v>3204.5</v>
      </c>
      <c r="Q685" s="13">
        <f t="shared" si="33"/>
        <v>0.38499891871110364</v>
      </c>
      <c r="R685" s="14">
        <f t="shared" si="34"/>
        <v>11527.9</v>
      </c>
      <c r="S685" s="15">
        <f t="shared" si="35"/>
        <v>13602.921999999999</v>
      </c>
    </row>
    <row r="686" spans="1:19" x14ac:dyDescent="0.3">
      <c r="A686">
        <v>200010076</v>
      </c>
      <c r="B686">
        <v>273712658</v>
      </c>
      <c r="C686" s="11">
        <v>46223</v>
      </c>
      <c r="D686" s="1">
        <v>873929069920</v>
      </c>
      <c r="E686">
        <v>41517</v>
      </c>
      <c r="F686" t="s">
        <v>22</v>
      </c>
      <c r="G686" s="12">
        <v>3.5</v>
      </c>
      <c r="H686">
        <v>46</v>
      </c>
      <c r="I686">
        <v>21</v>
      </c>
      <c r="J686">
        <v>20</v>
      </c>
      <c r="K686" s="12">
        <v>3.5</v>
      </c>
      <c r="L686" t="s">
        <v>20</v>
      </c>
      <c r="M686" s="3">
        <v>1833.3</v>
      </c>
      <c r="N686" s="3">
        <v>231</v>
      </c>
      <c r="O686"/>
      <c r="P686" s="3">
        <v>794.8</v>
      </c>
      <c r="Q686" s="13">
        <f t="shared" si="33"/>
        <v>0.38502155694424256</v>
      </c>
      <c r="R686" s="14">
        <f t="shared" si="34"/>
        <v>2859.1000000000004</v>
      </c>
      <c r="S686" s="15">
        <f t="shared" si="35"/>
        <v>3373.7380000000003</v>
      </c>
    </row>
    <row r="687" spans="1:19" x14ac:dyDescent="0.3">
      <c r="A687">
        <v>200010076</v>
      </c>
      <c r="B687">
        <v>273712658</v>
      </c>
      <c r="C687" s="11">
        <v>46223</v>
      </c>
      <c r="D687" s="1">
        <v>873929070085</v>
      </c>
      <c r="E687">
        <v>41351</v>
      </c>
      <c r="F687" t="s">
        <v>22</v>
      </c>
      <c r="G687" s="12">
        <v>4.5</v>
      </c>
      <c r="H687">
        <v>52</v>
      </c>
      <c r="I687">
        <v>21</v>
      </c>
      <c r="J687">
        <v>21</v>
      </c>
      <c r="K687" s="12">
        <v>4.5</v>
      </c>
      <c r="L687" t="s">
        <v>20</v>
      </c>
      <c r="M687" s="3">
        <v>2098.9</v>
      </c>
      <c r="N687" s="3">
        <v>297</v>
      </c>
      <c r="O687"/>
      <c r="P687" s="3">
        <v>922.4</v>
      </c>
      <c r="Q687" s="13">
        <f t="shared" si="33"/>
        <v>0.38499102633665844</v>
      </c>
      <c r="R687" s="14">
        <f t="shared" si="34"/>
        <v>3318.3</v>
      </c>
      <c r="S687" s="15">
        <f t="shared" si="35"/>
        <v>3915.5940000000001</v>
      </c>
    </row>
    <row r="688" spans="1:19" x14ac:dyDescent="0.3">
      <c r="A688">
        <v>200010076</v>
      </c>
      <c r="B688">
        <v>273712658</v>
      </c>
      <c r="C688" s="11">
        <v>46223</v>
      </c>
      <c r="D688" s="1">
        <v>873929070111</v>
      </c>
      <c r="E688">
        <v>40397</v>
      </c>
      <c r="F688" t="s">
        <v>22</v>
      </c>
      <c r="G688" s="12">
        <v>10.5</v>
      </c>
      <c r="H688">
        <v>53</v>
      </c>
      <c r="I688">
        <v>34</v>
      </c>
      <c r="J688">
        <v>33</v>
      </c>
      <c r="K688" s="12">
        <v>10.5</v>
      </c>
      <c r="L688" t="s">
        <v>20</v>
      </c>
      <c r="M688" s="3">
        <v>4575.1000000000004</v>
      </c>
      <c r="N688" s="3">
        <v>693</v>
      </c>
      <c r="O688"/>
      <c r="P688" s="3">
        <v>2028.2</v>
      </c>
      <c r="Q688" s="13">
        <f t="shared" si="33"/>
        <v>0.38499648829748861</v>
      </c>
      <c r="R688" s="14">
        <f t="shared" si="34"/>
        <v>7296.3</v>
      </c>
      <c r="S688" s="15">
        <f t="shared" si="35"/>
        <v>8609.634</v>
      </c>
    </row>
    <row r="689" spans="1:19" x14ac:dyDescent="0.3">
      <c r="A689">
        <v>200010076</v>
      </c>
      <c r="B689">
        <v>273712658</v>
      </c>
      <c r="C689" s="11">
        <v>46223</v>
      </c>
      <c r="D689" s="1">
        <v>873929073934</v>
      </c>
      <c r="E689">
        <v>41728</v>
      </c>
      <c r="F689" t="s">
        <v>22</v>
      </c>
      <c r="G689" s="12">
        <v>19</v>
      </c>
      <c r="H689">
        <v>85</v>
      </c>
      <c r="I689">
        <v>37</v>
      </c>
      <c r="J689">
        <v>36</v>
      </c>
      <c r="K689" s="12">
        <v>19</v>
      </c>
      <c r="L689" t="s">
        <v>20</v>
      </c>
      <c r="M689" s="3">
        <v>7476.8</v>
      </c>
      <c r="N689" s="3">
        <v>1254</v>
      </c>
      <c r="O689"/>
      <c r="P689" s="3">
        <v>3361.4</v>
      </c>
      <c r="Q689" s="13">
        <f t="shared" si="33"/>
        <v>0.38500481055573377</v>
      </c>
      <c r="R689" s="14">
        <f t="shared" si="34"/>
        <v>12092.199999999999</v>
      </c>
      <c r="S689" s="15">
        <f t="shared" si="35"/>
        <v>14268.795999999998</v>
      </c>
    </row>
    <row r="690" spans="1:19" x14ac:dyDescent="0.3">
      <c r="A690">
        <v>200010076</v>
      </c>
      <c r="B690">
        <v>273712658</v>
      </c>
      <c r="C690" s="11">
        <v>46223</v>
      </c>
      <c r="D690" s="1">
        <v>873929074139</v>
      </c>
      <c r="E690">
        <v>39022</v>
      </c>
      <c r="F690" t="s">
        <v>22</v>
      </c>
      <c r="G690" s="12">
        <v>8.5</v>
      </c>
      <c r="H690">
        <v>46</v>
      </c>
      <c r="I690">
        <v>33</v>
      </c>
      <c r="J690">
        <v>32</v>
      </c>
      <c r="K690" s="12">
        <v>8.5</v>
      </c>
      <c r="L690" t="s">
        <v>20</v>
      </c>
      <c r="M690" s="3">
        <v>3184.4</v>
      </c>
      <c r="N690" s="3">
        <v>561</v>
      </c>
      <c r="O690"/>
      <c r="P690" s="3">
        <v>1442</v>
      </c>
      <c r="Q690" s="13">
        <f t="shared" si="33"/>
        <v>0.38500560687777008</v>
      </c>
      <c r="R690" s="14">
        <f t="shared" si="34"/>
        <v>5187.3999999999996</v>
      </c>
      <c r="S690" s="15">
        <f t="shared" si="35"/>
        <v>6121.1319999999996</v>
      </c>
    </row>
    <row r="691" spans="1:19" x14ac:dyDescent="0.3">
      <c r="A691">
        <v>200010076</v>
      </c>
      <c r="B691">
        <v>273712658</v>
      </c>
      <c r="C691" s="11">
        <v>46223</v>
      </c>
      <c r="D691" s="1">
        <v>873929075043</v>
      </c>
      <c r="E691">
        <v>42139</v>
      </c>
      <c r="F691" t="s">
        <v>22</v>
      </c>
      <c r="G691" s="12">
        <v>5.5</v>
      </c>
      <c r="H691">
        <v>57</v>
      </c>
      <c r="I691">
        <v>24</v>
      </c>
      <c r="J691">
        <v>23</v>
      </c>
      <c r="K691" s="12">
        <v>5.5</v>
      </c>
      <c r="L691" t="s">
        <v>20</v>
      </c>
      <c r="M691" s="3">
        <v>2494</v>
      </c>
      <c r="N691" s="3">
        <v>363</v>
      </c>
      <c r="O691"/>
      <c r="P691" s="3">
        <v>1100</v>
      </c>
      <c r="Q691" s="13">
        <f t="shared" si="33"/>
        <v>0.38501925096254813</v>
      </c>
      <c r="R691" s="14">
        <f t="shared" si="34"/>
        <v>3957</v>
      </c>
      <c r="S691" s="15">
        <f t="shared" si="35"/>
        <v>4669.2599999999993</v>
      </c>
    </row>
    <row r="692" spans="1:19" x14ac:dyDescent="0.3">
      <c r="A692">
        <v>200010076</v>
      </c>
      <c r="B692">
        <v>273712658</v>
      </c>
      <c r="C692" s="11">
        <v>46223</v>
      </c>
      <c r="D692" s="1">
        <v>873929076153</v>
      </c>
      <c r="E692">
        <v>39921</v>
      </c>
      <c r="F692" t="s">
        <v>22</v>
      </c>
      <c r="G692" s="12">
        <v>2.5</v>
      </c>
      <c r="H692">
        <v>49</v>
      </c>
      <c r="I692">
        <v>19</v>
      </c>
      <c r="J692">
        <v>15</v>
      </c>
      <c r="K692" s="12">
        <v>2.5</v>
      </c>
      <c r="L692" t="s">
        <v>20</v>
      </c>
      <c r="M692" s="3">
        <v>1671.3</v>
      </c>
      <c r="N692" s="3">
        <v>165</v>
      </c>
      <c r="O692"/>
      <c r="P692" s="3">
        <v>707</v>
      </c>
      <c r="Q692" s="13">
        <f t="shared" si="33"/>
        <v>0.38501334204650656</v>
      </c>
      <c r="R692" s="14">
        <f t="shared" si="34"/>
        <v>2543.3000000000002</v>
      </c>
      <c r="S692" s="15">
        <f t="shared" si="35"/>
        <v>3001.0940000000001</v>
      </c>
    </row>
    <row r="693" spans="1:19" x14ac:dyDescent="0.3">
      <c r="A693">
        <v>200010076</v>
      </c>
      <c r="B693">
        <v>273712658</v>
      </c>
      <c r="C693" s="11">
        <v>46223</v>
      </c>
      <c r="D693" s="1">
        <v>873929077414</v>
      </c>
      <c r="E693">
        <v>41529</v>
      </c>
      <c r="F693" t="s">
        <v>22</v>
      </c>
      <c r="G693" s="12">
        <v>5</v>
      </c>
      <c r="H693">
        <v>53</v>
      </c>
      <c r="I693">
        <v>23</v>
      </c>
      <c r="J693">
        <v>22</v>
      </c>
      <c r="K693" s="12">
        <v>5</v>
      </c>
      <c r="L693" t="s">
        <v>20</v>
      </c>
      <c r="M693" s="3">
        <v>2231.6999999999998</v>
      </c>
      <c r="N693" s="3">
        <v>330</v>
      </c>
      <c r="O693"/>
      <c r="P693" s="3">
        <v>986.3</v>
      </c>
      <c r="Q693" s="13">
        <f t="shared" si="33"/>
        <v>0.38501776164265916</v>
      </c>
      <c r="R693" s="14">
        <f t="shared" si="34"/>
        <v>3548</v>
      </c>
      <c r="S693" s="15">
        <f t="shared" si="35"/>
        <v>4186.6399999999994</v>
      </c>
    </row>
    <row r="694" spans="1:19" x14ac:dyDescent="0.3">
      <c r="A694">
        <v>200010076</v>
      </c>
      <c r="B694">
        <v>273712658</v>
      </c>
      <c r="C694" s="11">
        <v>46223</v>
      </c>
      <c r="D694" s="1">
        <v>873929077837</v>
      </c>
      <c r="E694">
        <v>40294</v>
      </c>
      <c r="F694" t="s">
        <v>22</v>
      </c>
      <c r="G694" s="12">
        <v>2</v>
      </c>
      <c r="H694">
        <v>51</v>
      </c>
      <c r="I694">
        <v>15</v>
      </c>
      <c r="J694">
        <v>14</v>
      </c>
      <c r="K694" s="12">
        <v>2</v>
      </c>
      <c r="L694" t="s">
        <v>20</v>
      </c>
      <c r="M694" s="3">
        <v>1512.5</v>
      </c>
      <c r="N694" s="3">
        <v>132</v>
      </c>
      <c r="O694"/>
      <c r="P694" s="3">
        <v>633.1</v>
      </c>
      <c r="Q694" s="13">
        <f t="shared" si="33"/>
        <v>0.3849802371541502</v>
      </c>
      <c r="R694" s="14">
        <f t="shared" si="34"/>
        <v>2277.6</v>
      </c>
      <c r="S694" s="15">
        <f t="shared" si="35"/>
        <v>2687.5679999999998</v>
      </c>
    </row>
    <row r="695" spans="1:19" x14ac:dyDescent="0.3">
      <c r="A695">
        <v>200010076</v>
      </c>
      <c r="B695">
        <v>273712658</v>
      </c>
      <c r="C695" s="11">
        <v>46223</v>
      </c>
      <c r="D695" s="1">
        <v>873929080204</v>
      </c>
      <c r="E695">
        <v>39869</v>
      </c>
      <c r="F695" t="s">
        <v>22</v>
      </c>
      <c r="G695" s="12">
        <v>6</v>
      </c>
      <c r="H695">
        <v>65</v>
      </c>
      <c r="I695">
        <v>25</v>
      </c>
      <c r="J695">
        <v>21</v>
      </c>
      <c r="K695" s="12">
        <v>6</v>
      </c>
      <c r="L695" t="s">
        <v>20</v>
      </c>
      <c r="M695" s="3">
        <v>2609.1</v>
      </c>
      <c r="N695" s="3">
        <v>396</v>
      </c>
      <c r="O695"/>
      <c r="P695" s="3">
        <v>1157</v>
      </c>
      <c r="Q695" s="13">
        <f t="shared" si="33"/>
        <v>0.38501214601843536</v>
      </c>
      <c r="R695" s="14">
        <f t="shared" si="34"/>
        <v>4162.1000000000004</v>
      </c>
      <c r="S695" s="15">
        <f t="shared" si="35"/>
        <v>4911.2780000000002</v>
      </c>
    </row>
    <row r="696" spans="1:19" x14ac:dyDescent="0.3">
      <c r="A696">
        <v>200010076</v>
      </c>
      <c r="B696">
        <v>273712658</v>
      </c>
      <c r="C696" s="11">
        <v>46223</v>
      </c>
      <c r="D696" s="1">
        <v>873929080590</v>
      </c>
      <c r="E696">
        <v>41547</v>
      </c>
      <c r="F696" t="s">
        <v>22</v>
      </c>
      <c r="G696" s="12">
        <v>6.5</v>
      </c>
      <c r="H696">
        <v>55</v>
      </c>
      <c r="I696">
        <v>26</v>
      </c>
      <c r="J696">
        <v>26</v>
      </c>
      <c r="K696" s="12">
        <v>6.5</v>
      </c>
      <c r="L696" t="s">
        <v>20</v>
      </c>
      <c r="M696" s="3">
        <v>2724.1</v>
      </c>
      <c r="N696" s="3">
        <v>429</v>
      </c>
      <c r="O696"/>
      <c r="P696" s="3">
        <v>1213.9000000000001</v>
      </c>
      <c r="Q696" s="13">
        <f t="shared" si="33"/>
        <v>0.38498620405315409</v>
      </c>
      <c r="R696" s="14">
        <f t="shared" si="34"/>
        <v>4367</v>
      </c>
      <c r="S696" s="15">
        <f t="shared" si="35"/>
        <v>5153.0599999999995</v>
      </c>
    </row>
    <row r="697" spans="1:19" x14ac:dyDescent="0.3">
      <c r="A697">
        <v>200010076</v>
      </c>
      <c r="B697">
        <v>273712658</v>
      </c>
      <c r="C697" s="11">
        <v>46223</v>
      </c>
      <c r="D697" s="1">
        <v>873929081130</v>
      </c>
      <c r="E697">
        <v>41200</v>
      </c>
      <c r="F697" t="s">
        <v>22</v>
      </c>
      <c r="G697" s="12">
        <v>5.5</v>
      </c>
      <c r="H697">
        <v>52</v>
      </c>
      <c r="I697">
        <v>23</v>
      </c>
      <c r="J697">
        <v>23</v>
      </c>
      <c r="K697" s="12">
        <v>5.5</v>
      </c>
      <c r="L697" t="s">
        <v>20</v>
      </c>
      <c r="M697" s="3">
        <v>2494</v>
      </c>
      <c r="N697" s="3">
        <v>363</v>
      </c>
      <c r="O697"/>
      <c r="P697" s="3">
        <v>1100</v>
      </c>
      <c r="Q697" s="13">
        <f t="shared" si="33"/>
        <v>0.38501925096254813</v>
      </c>
      <c r="R697" s="14">
        <f t="shared" si="34"/>
        <v>3957</v>
      </c>
      <c r="S697" s="15">
        <f t="shared" si="35"/>
        <v>4669.2599999999993</v>
      </c>
    </row>
    <row r="698" spans="1:19" x14ac:dyDescent="0.3">
      <c r="A698">
        <v>200010076</v>
      </c>
      <c r="B698">
        <v>273712658</v>
      </c>
      <c r="C698" s="11">
        <v>46223</v>
      </c>
      <c r="D698" s="1">
        <v>873929081932</v>
      </c>
      <c r="E698">
        <v>40977</v>
      </c>
      <c r="F698" t="s">
        <v>22</v>
      </c>
      <c r="G698" s="12">
        <v>2.5</v>
      </c>
      <c r="H698">
        <v>50</v>
      </c>
      <c r="I698">
        <v>16</v>
      </c>
      <c r="J698">
        <v>15</v>
      </c>
      <c r="K698" s="12">
        <v>2.5</v>
      </c>
      <c r="L698" t="s">
        <v>20</v>
      </c>
      <c r="M698" s="3">
        <v>1671.3</v>
      </c>
      <c r="N698" s="3">
        <v>165</v>
      </c>
      <c r="O698"/>
      <c r="P698" s="3">
        <v>707</v>
      </c>
      <c r="Q698" s="13">
        <f t="shared" si="33"/>
        <v>0.38501334204650656</v>
      </c>
      <c r="R698" s="14">
        <f t="shared" si="34"/>
        <v>2543.3000000000002</v>
      </c>
      <c r="S698" s="15">
        <f t="shared" si="35"/>
        <v>3001.0940000000001</v>
      </c>
    </row>
    <row r="699" spans="1:19" x14ac:dyDescent="0.3">
      <c r="A699">
        <v>200010076</v>
      </c>
      <c r="B699">
        <v>273712658</v>
      </c>
      <c r="C699" s="11">
        <v>46223</v>
      </c>
      <c r="D699" s="1">
        <v>873929084861</v>
      </c>
      <c r="E699">
        <v>41594</v>
      </c>
      <c r="F699" t="s">
        <v>22</v>
      </c>
      <c r="G699" s="12">
        <v>18.5</v>
      </c>
      <c r="H699">
        <v>115</v>
      </c>
      <c r="I699">
        <v>32</v>
      </c>
      <c r="J699">
        <v>29</v>
      </c>
      <c r="K699" s="12">
        <v>18.5</v>
      </c>
      <c r="L699" t="s">
        <v>20</v>
      </c>
      <c r="M699" s="3">
        <v>7306.1</v>
      </c>
      <c r="N699" s="3">
        <v>1221</v>
      </c>
      <c r="O699"/>
      <c r="P699" s="3">
        <v>3282.9</v>
      </c>
      <c r="Q699" s="13">
        <f t="shared" si="33"/>
        <v>0.38499607134899322</v>
      </c>
      <c r="R699" s="14">
        <f t="shared" si="34"/>
        <v>11810</v>
      </c>
      <c r="S699" s="15">
        <f t="shared" si="35"/>
        <v>13935.8</v>
      </c>
    </row>
    <row r="700" spans="1:19" x14ac:dyDescent="0.3">
      <c r="A700">
        <v>200010076</v>
      </c>
      <c r="B700">
        <v>273712658</v>
      </c>
      <c r="C700" s="11">
        <v>46223</v>
      </c>
      <c r="D700" s="1">
        <v>873939762753</v>
      </c>
      <c r="E700">
        <v>38141</v>
      </c>
      <c r="F700" t="s">
        <v>22</v>
      </c>
      <c r="G700" s="12">
        <v>8.5</v>
      </c>
      <c r="H700">
        <v>52</v>
      </c>
      <c r="I700">
        <v>31</v>
      </c>
      <c r="J700">
        <v>30</v>
      </c>
      <c r="K700" s="12">
        <v>8.5</v>
      </c>
      <c r="L700" t="s">
        <v>20</v>
      </c>
      <c r="M700" s="3">
        <v>3184.4</v>
      </c>
      <c r="N700" s="3">
        <v>561</v>
      </c>
      <c r="O700"/>
      <c r="P700" s="3">
        <v>1442</v>
      </c>
      <c r="Q700" s="13">
        <f t="shared" si="33"/>
        <v>0.38500560687777008</v>
      </c>
      <c r="R700" s="14">
        <f t="shared" si="34"/>
        <v>5187.3999999999996</v>
      </c>
      <c r="S700" s="15">
        <f t="shared" si="35"/>
        <v>6121.1319999999996</v>
      </c>
    </row>
    <row r="701" spans="1:19" x14ac:dyDescent="0.3">
      <c r="A701">
        <v>200010076</v>
      </c>
      <c r="B701">
        <v>273712658</v>
      </c>
      <c r="C701" s="11">
        <v>46223</v>
      </c>
      <c r="D701" s="1">
        <v>873943481205</v>
      </c>
      <c r="E701">
        <v>41346</v>
      </c>
      <c r="F701" t="s">
        <v>22</v>
      </c>
      <c r="G701" s="12">
        <v>9.6999999999999993</v>
      </c>
      <c r="H701">
        <v>91</v>
      </c>
      <c r="I701">
        <v>36</v>
      </c>
      <c r="J701">
        <v>33</v>
      </c>
      <c r="K701" s="12">
        <v>18</v>
      </c>
      <c r="L701" t="s">
        <v>20</v>
      </c>
      <c r="M701" s="3">
        <v>7135.4</v>
      </c>
      <c r="N701" s="3">
        <v>1188</v>
      </c>
      <c r="O701"/>
      <c r="P701" s="3">
        <v>3204.5</v>
      </c>
      <c r="Q701" s="13">
        <f t="shared" si="33"/>
        <v>0.38499891871110364</v>
      </c>
      <c r="R701" s="14">
        <f t="shared" si="34"/>
        <v>11527.9</v>
      </c>
      <c r="S701" s="15">
        <f t="shared" si="35"/>
        <v>13602.921999999999</v>
      </c>
    </row>
    <row r="702" spans="1:19" x14ac:dyDescent="0.3">
      <c r="A702">
        <v>200010076</v>
      </c>
      <c r="B702">
        <v>273712658</v>
      </c>
      <c r="C702" s="11">
        <v>46223</v>
      </c>
      <c r="D702" s="1">
        <v>873943483219</v>
      </c>
      <c r="E702">
        <v>41716</v>
      </c>
      <c r="F702" t="s">
        <v>22</v>
      </c>
      <c r="G702" s="12">
        <v>4.4000000000000004</v>
      </c>
      <c r="H702">
        <v>62</v>
      </c>
      <c r="I702">
        <v>24</v>
      </c>
      <c r="J702">
        <v>22</v>
      </c>
      <c r="K702" s="12">
        <v>5.5</v>
      </c>
      <c r="L702" t="s">
        <v>20</v>
      </c>
      <c r="M702" s="3">
        <v>2494</v>
      </c>
      <c r="N702" s="3">
        <v>363</v>
      </c>
      <c r="O702"/>
      <c r="P702" s="3">
        <v>1100</v>
      </c>
      <c r="Q702" s="13">
        <f t="shared" si="33"/>
        <v>0.38501925096254813</v>
      </c>
      <c r="R702" s="14">
        <f t="shared" si="34"/>
        <v>3957</v>
      </c>
      <c r="S702" s="15">
        <f t="shared" si="35"/>
        <v>4669.2599999999993</v>
      </c>
    </row>
    <row r="703" spans="1:19" x14ac:dyDescent="0.3">
      <c r="A703">
        <v>200010076</v>
      </c>
      <c r="B703">
        <v>273712658</v>
      </c>
      <c r="C703" s="11">
        <v>46223</v>
      </c>
      <c r="D703" s="1">
        <v>873943483675</v>
      </c>
      <c r="E703">
        <v>41341</v>
      </c>
      <c r="F703" t="s">
        <v>22</v>
      </c>
      <c r="G703" s="12">
        <v>5</v>
      </c>
      <c r="H703">
        <v>54</v>
      </c>
      <c r="I703">
        <v>23</v>
      </c>
      <c r="J703">
        <v>23</v>
      </c>
      <c r="K703" s="12">
        <v>5</v>
      </c>
      <c r="L703" t="s">
        <v>20</v>
      </c>
      <c r="M703" s="3">
        <v>2231.6999999999998</v>
      </c>
      <c r="N703" s="3">
        <v>330</v>
      </c>
      <c r="O703"/>
      <c r="P703" s="3">
        <v>986.3</v>
      </c>
      <c r="Q703" s="13">
        <f t="shared" si="33"/>
        <v>0.38501776164265916</v>
      </c>
      <c r="R703" s="14">
        <f t="shared" si="34"/>
        <v>3548</v>
      </c>
      <c r="S703" s="15">
        <f t="shared" si="35"/>
        <v>4186.6399999999994</v>
      </c>
    </row>
    <row r="704" spans="1:19" x14ac:dyDescent="0.3">
      <c r="A704">
        <v>200010076</v>
      </c>
      <c r="B704">
        <v>273712658</v>
      </c>
      <c r="C704" s="11">
        <v>46223</v>
      </c>
      <c r="D704" s="1">
        <v>873943484270</v>
      </c>
      <c r="E704">
        <v>40319</v>
      </c>
      <c r="F704" t="s">
        <v>22</v>
      </c>
      <c r="G704" s="12">
        <v>4.5</v>
      </c>
      <c r="H704">
        <v>58</v>
      </c>
      <c r="I704">
        <v>21</v>
      </c>
      <c r="J704">
        <v>21</v>
      </c>
      <c r="K704" s="12">
        <v>4.5</v>
      </c>
      <c r="L704" t="s">
        <v>20</v>
      </c>
      <c r="M704" s="3">
        <v>2098.9</v>
      </c>
      <c r="N704" s="3">
        <v>297</v>
      </c>
      <c r="O704"/>
      <c r="P704" s="3">
        <v>922.4</v>
      </c>
      <c r="Q704" s="13">
        <f t="shared" si="33"/>
        <v>0.38499102633665844</v>
      </c>
      <c r="R704" s="14">
        <f t="shared" si="34"/>
        <v>3318.3</v>
      </c>
      <c r="S704" s="15">
        <f t="shared" si="35"/>
        <v>3915.5940000000001</v>
      </c>
    </row>
    <row r="705" spans="1:19" x14ac:dyDescent="0.3">
      <c r="A705">
        <v>200010076</v>
      </c>
      <c r="B705">
        <v>273712658</v>
      </c>
      <c r="C705" s="11">
        <v>46223</v>
      </c>
      <c r="D705" s="1">
        <v>873943484671</v>
      </c>
      <c r="E705">
        <v>4097610237</v>
      </c>
      <c r="F705" t="s">
        <v>22</v>
      </c>
      <c r="G705" s="12">
        <v>5.5</v>
      </c>
      <c r="H705">
        <v>52</v>
      </c>
      <c r="I705">
        <v>25</v>
      </c>
      <c r="J705">
        <v>25</v>
      </c>
      <c r="K705" s="12">
        <v>5.5</v>
      </c>
      <c r="L705" t="s">
        <v>20</v>
      </c>
      <c r="M705" s="3">
        <v>2494</v>
      </c>
      <c r="N705" s="3">
        <v>363</v>
      </c>
      <c r="O705"/>
      <c r="P705" s="3">
        <v>1100</v>
      </c>
      <c r="Q705" s="13">
        <f t="shared" si="33"/>
        <v>0.38501925096254813</v>
      </c>
      <c r="R705" s="14">
        <f t="shared" si="34"/>
        <v>3957</v>
      </c>
      <c r="S705" s="15">
        <f t="shared" si="35"/>
        <v>4669.2599999999993</v>
      </c>
    </row>
    <row r="706" spans="1:19" x14ac:dyDescent="0.3">
      <c r="A706">
        <v>200010076</v>
      </c>
      <c r="B706">
        <v>273712658</v>
      </c>
      <c r="C706" s="11">
        <v>46223</v>
      </c>
      <c r="D706" s="1">
        <v>873943485200</v>
      </c>
      <c r="E706">
        <v>41296</v>
      </c>
      <c r="F706" t="s">
        <v>22</v>
      </c>
      <c r="G706" s="12">
        <v>4.5</v>
      </c>
      <c r="H706">
        <v>54</v>
      </c>
      <c r="I706">
        <v>21</v>
      </c>
      <c r="J706">
        <v>21</v>
      </c>
      <c r="K706" s="12">
        <v>4.5</v>
      </c>
      <c r="L706" t="s">
        <v>20</v>
      </c>
      <c r="M706" s="3">
        <v>2098.9</v>
      </c>
      <c r="N706" s="3">
        <v>297</v>
      </c>
      <c r="O706"/>
      <c r="P706" s="3">
        <v>922.4</v>
      </c>
      <c r="Q706" s="13">
        <f t="shared" si="33"/>
        <v>0.38499102633665844</v>
      </c>
      <c r="R706" s="14">
        <f t="shared" si="34"/>
        <v>3318.3</v>
      </c>
      <c r="S706" s="15">
        <f t="shared" si="35"/>
        <v>3915.5940000000001</v>
      </c>
    </row>
    <row r="707" spans="1:19" x14ac:dyDescent="0.3">
      <c r="A707">
        <v>200010076</v>
      </c>
      <c r="B707">
        <v>273712658</v>
      </c>
      <c r="C707" s="11">
        <v>46223</v>
      </c>
      <c r="D707" s="1">
        <v>873943485472</v>
      </c>
      <c r="E707">
        <v>41709</v>
      </c>
      <c r="F707" t="s">
        <v>22</v>
      </c>
      <c r="G707" s="12">
        <v>4.5</v>
      </c>
      <c r="H707">
        <v>70</v>
      </c>
      <c r="I707">
        <v>19</v>
      </c>
      <c r="J707">
        <v>19</v>
      </c>
      <c r="K707" s="12">
        <v>4.5</v>
      </c>
      <c r="L707" t="s">
        <v>20</v>
      </c>
      <c r="M707" s="3">
        <v>2098.9</v>
      </c>
      <c r="N707" s="3">
        <v>297</v>
      </c>
      <c r="O707"/>
      <c r="P707" s="3">
        <v>922.4</v>
      </c>
      <c r="Q707" s="13">
        <f t="shared" si="33"/>
        <v>0.38499102633665844</v>
      </c>
      <c r="R707" s="14">
        <f t="shared" si="34"/>
        <v>3318.3</v>
      </c>
      <c r="S707" s="15">
        <f t="shared" si="35"/>
        <v>3915.5940000000001</v>
      </c>
    </row>
    <row r="708" spans="1:19" x14ac:dyDescent="0.3">
      <c r="A708">
        <v>200010076</v>
      </c>
      <c r="B708">
        <v>273712658</v>
      </c>
      <c r="C708" s="11">
        <v>46223</v>
      </c>
      <c r="D708" s="1">
        <v>873943485601</v>
      </c>
      <c r="E708">
        <v>41642</v>
      </c>
      <c r="F708" t="s">
        <v>22</v>
      </c>
      <c r="G708" s="12">
        <v>2.8</v>
      </c>
      <c r="H708">
        <v>57</v>
      </c>
      <c r="I708">
        <v>19</v>
      </c>
      <c r="J708">
        <v>18</v>
      </c>
      <c r="K708" s="12">
        <v>3.2</v>
      </c>
      <c r="L708" t="s">
        <v>20</v>
      </c>
      <c r="M708" s="3">
        <v>1833.3</v>
      </c>
      <c r="N708" s="3">
        <v>231</v>
      </c>
      <c r="O708"/>
      <c r="P708" s="3">
        <v>794.8</v>
      </c>
      <c r="Q708" s="13">
        <f t="shared" si="33"/>
        <v>0.38502155694424256</v>
      </c>
      <c r="R708" s="14">
        <f t="shared" si="34"/>
        <v>2859.1000000000004</v>
      </c>
      <c r="S708" s="15">
        <f t="shared" si="35"/>
        <v>3373.7380000000003</v>
      </c>
    </row>
    <row r="709" spans="1:19" x14ac:dyDescent="0.3">
      <c r="A709">
        <v>200010076</v>
      </c>
      <c r="B709">
        <v>273712658</v>
      </c>
      <c r="C709" s="11">
        <v>46223</v>
      </c>
      <c r="D709" s="1">
        <v>873943485645</v>
      </c>
      <c r="E709">
        <v>41862</v>
      </c>
      <c r="F709" t="s">
        <v>22</v>
      </c>
      <c r="G709" s="12">
        <v>4.4000000000000004</v>
      </c>
      <c r="H709">
        <v>68</v>
      </c>
      <c r="I709">
        <v>22</v>
      </c>
      <c r="J709">
        <v>20</v>
      </c>
      <c r="K709" s="12">
        <v>5</v>
      </c>
      <c r="L709" t="s">
        <v>20</v>
      </c>
      <c r="M709" s="3">
        <v>2231.6999999999998</v>
      </c>
      <c r="N709" s="3">
        <v>330</v>
      </c>
      <c r="O709"/>
      <c r="P709" s="3">
        <v>986.3</v>
      </c>
      <c r="Q709" s="13">
        <f t="shared" si="33"/>
        <v>0.38501776164265916</v>
      </c>
      <c r="R709" s="14">
        <f t="shared" si="34"/>
        <v>3548</v>
      </c>
      <c r="S709" s="15">
        <f t="shared" si="35"/>
        <v>4186.6399999999994</v>
      </c>
    </row>
    <row r="710" spans="1:19" x14ac:dyDescent="0.3">
      <c r="A710">
        <v>200010076</v>
      </c>
      <c r="B710">
        <v>273712658</v>
      </c>
      <c r="C710" s="11">
        <v>46223</v>
      </c>
      <c r="D710" s="1">
        <v>873943485792</v>
      </c>
      <c r="E710">
        <v>40360</v>
      </c>
      <c r="F710" t="s">
        <v>22</v>
      </c>
      <c r="G710" s="12">
        <v>4.5</v>
      </c>
      <c r="H710">
        <v>54</v>
      </c>
      <c r="I710">
        <v>22</v>
      </c>
      <c r="J710">
        <v>21</v>
      </c>
      <c r="K710" s="12">
        <v>4.5</v>
      </c>
      <c r="L710" t="s">
        <v>20</v>
      </c>
      <c r="M710" s="3">
        <v>2098.9</v>
      </c>
      <c r="N710" s="3">
        <v>297</v>
      </c>
      <c r="O710"/>
      <c r="P710" s="3">
        <v>922.4</v>
      </c>
      <c r="Q710" s="13">
        <f t="shared" si="33"/>
        <v>0.38499102633665844</v>
      </c>
      <c r="R710" s="14">
        <f t="shared" si="34"/>
        <v>3318.3</v>
      </c>
      <c r="S710" s="15">
        <f t="shared" si="35"/>
        <v>3915.5940000000001</v>
      </c>
    </row>
    <row r="711" spans="1:19" x14ac:dyDescent="0.3">
      <c r="A711">
        <v>200010076</v>
      </c>
      <c r="B711">
        <v>273712658</v>
      </c>
      <c r="C711" s="11">
        <v>46223</v>
      </c>
      <c r="D711" s="1">
        <v>873943485976</v>
      </c>
      <c r="E711">
        <v>41613</v>
      </c>
      <c r="F711" t="s">
        <v>22</v>
      </c>
      <c r="G711" s="12">
        <v>10</v>
      </c>
      <c r="H711">
        <v>46</v>
      </c>
      <c r="I711">
        <v>35</v>
      </c>
      <c r="J711">
        <v>35</v>
      </c>
      <c r="K711" s="12">
        <v>10</v>
      </c>
      <c r="L711" t="s">
        <v>20</v>
      </c>
      <c r="M711" s="3">
        <v>3529.5</v>
      </c>
      <c r="N711" s="3">
        <v>660</v>
      </c>
      <c r="O711"/>
      <c r="P711" s="3">
        <v>1613</v>
      </c>
      <c r="Q711" s="13">
        <f t="shared" si="33"/>
        <v>0.38501014440864068</v>
      </c>
      <c r="R711" s="14">
        <f t="shared" si="34"/>
        <v>5802.5</v>
      </c>
      <c r="S711" s="15">
        <f t="shared" si="35"/>
        <v>6846.95</v>
      </c>
    </row>
    <row r="712" spans="1:19" x14ac:dyDescent="0.3">
      <c r="A712">
        <v>200010076</v>
      </c>
      <c r="B712">
        <v>273712658</v>
      </c>
      <c r="C712" s="11">
        <v>46223</v>
      </c>
      <c r="D712" s="1">
        <v>873943486722</v>
      </c>
      <c r="E712">
        <v>41261</v>
      </c>
      <c r="F712" t="s">
        <v>22</v>
      </c>
      <c r="G712" s="12">
        <v>7.5</v>
      </c>
      <c r="H712">
        <v>60</v>
      </c>
      <c r="I712">
        <v>27</v>
      </c>
      <c r="J712">
        <v>27</v>
      </c>
      <c r="K712" s="12">
        <v>7.5</v>
      </c>
      <c r="L712" t="s">
        <v>20</v>
      </c>
      <c r="M712" s="3">
        <v>2954.2</v>
      </c>
      <c r="N712" s="3">
        <v>495</v>
      </c>
      <c r="O712"/>
      <c r="P712" s="3">
        <v>1327.9</v>
      </c>
      <c r="Q712" s="13">
        <f t="shared" si="33"/>
        <v>0.38498782326336545</v>
      </c>
      <c r="R712" s="14">
        <f t="shared" si="34"/>
        <v>4777.1000000000004</v>
      </c>
      <c r="S712" s="15">
        <f t="shared" si="35"/>
        <v>5636.9780000000001</v>
      </c>
    </row>
    <row r="713" spans="1:19" x14ac:dyDescent="0.3">
      <c r="A713">
        <v>200010076</v>
      </c>
      <c r="B713">
        <v>273712658</v>
      </c>
      <c r="C713" s="11">
        <v>46223</v>
      </c>
      <c r="D713" s="1">
        <v>873943487567</v>
      </c>
      <c r="E713">
        <v>40699</v>
      </c>
      <c r="F713" t="s">
        <v>22</v>
      </c>
      <c r="G713" s="12">
        <v>2.5</v>
      </c>
      <c r="H713">
        <v>53</v>
      </c>
      <c r="I713">
        <v>16</v>
      </c>
      <c r="J713">
        <v>15</v>
      </c>
      <c r="K713" s="12">
        <v>2.5</v>
      </c>
      <c r="L713" t="s">
        <v>20</v>
      </c>
      <c r="M713" s="3">
        <v>1671.3</v>
      </c>
      <c r="N713" s="3">
        <v>165</v>
      </c>
      <c r="O713"/>
      <c r="P713" s="3">
        <v>707</v>
      </c>
      <c r="Q713" s="13">
        <f t="shared" si="33"/>
        <v>0.38501334204650656</v>
      </c>
      <c r="R713" s="14">
        <f t="shared" si="34"/>
        <v>2543.3000000000002</v>
      </c>
      <c r="S713" s="15">
        <f t="shared" si="35"/>
        <v>3001.0940000000001</v>
      </c>
    </row>
    <row r="714" spans="1:19" x14ac:dyDescent="0.3">
      <c r="A714">
        <v>200010076</v>
      </c>
      <c r="B714">
        <v>273712658</v>
      </c>
      <c r="C714" s="11">
        <v>46223</v>
      </c>
      <c r="D714" s="1">
        <v>873943488254</v>
      </c>
      <c r="E714">
        <v>40752</v>
      </c>
      <c r="F714" t="s">
        <v>22</v>
      </c>
      <c r="G714" s="12">
        <v>3</v>
      </c>
      <c r="H714">
        <v>46</v>
      </c>
      <c r="I714">
        <v>18</v>
      </c>
      <c r="J714">
        <v>18</v>
      </c>
      <c r="K714" s="12">
        <v>3</v>
      </c>
      <c r="L714" t="s">
        <v>20</v>
      </c>
      <c r="M714" s="3">
        <v>1700.6</v>
      </c>
      <c r="N714" s="3">
        <v>198</v>
      </c>
      <c r="O714"/>
      <c r="P714" s="3">
        <v>731</v>
      </c>
      <c r="Q714" s="13">
        <f t="shared" si="33"/>
        <v>0.38502054145159592</v>
      </c>
      <c r="R714" s="14">
        <f t="shared" si="34"/>
        <v>2629.6</v>
      </c>
      <c r="S714" s="15">
        <f t="shared" si="35"/>
        <v>3102.9279999999999</v>
      </c>
    </row>
    <row r="715" spans="1:19" x14ac:dyDescent="0.3">
      <c r="A715">
        <v>200010076</v>
      </c>
      <c r="B715">
        <v>273712658</v>
      </c>
      <c r="C715" s="11">
        <v>46223</v>
      </c>
      <c r="D715" s="1">
        <v>873943488405</v>
      </c>
      <c r="E715">
        <v>40435</v>
      </c>
      <c r="F715" t="s">
        <v>22</v>
      </c>
      <c r="G715" s="12">
        <v>2</v>
      </c>
      <c r="H715">
        <v>43</v>
      </c>
      <c r="I715">
        <v>16</v>
      </c>
      <c r="J715">
        <v>14</v>
      </c>
      <c r="K715" s="12">
        <v>2</v>
      </c>
      <c r="L715" t="s">
        <v>20</v>
      </c>
      <c r="M715" s="3">
        <v>1512.5</v>
      </c>
      <c r="N715" s="3">
        <v>132</v>
      </c>
      <c r="O715"/>
      <c r="P715" s="3">
        <v>633.1</v>
      </c>
      <c r="Q715" s="13">
        <f t="shared" si="33"/>
        <v>0.3849802371541502</v>
      </c>
      <c r="R715" s="14">
        <f t="shared" si="34"/>
        <v>2277.6</v>
      </c>
      <c r="S715" s="15">
        <f t="shared" si="35"/>
        <v>2687.5679999999998</v>
      </c>
    </row>
    <row r="716" spans="1:19" x14ac:dyDescent="0.3">
      <c r="A716">
        <v>200010076</v>
      </c>
      <c r="B716">
        <v>273712658</v>
      </c>
      <c r="C716" s="11">
        <v>46223</v>
      </c>
      <c r="D716" s="1">
        <v>873943490060</v>
      </c>
      <c r="E716">
        <v>41497</v>
      </c>
      <c r="F716" t="s">
        <v>22</v>
      </c>
      <c r="G716" s="12">
        <v>6</v>
      </c>
      <c r="H716">
        <v>60</v>
      </c>
      <c r="I716">
        <v>25</v>
      </c>
      <c r="J716">
        <v>23</v>
      </c>
      <c r="K716" s="12">
        <v>6</v>
      </c>
      <c r="L716" t="s">
        <v>20</v>
      </c>
      <c r="M716" s="3">
        <v>2609.1</v>
      </c>
      <c r="N716" s="3">
        <v>396</v>
      </c>
      <c r="O716"/>
      <c r="P716" s="3">
        <v>1157</v>
      </c>
      <c r="Q716" s="13">
        <f t="shared" si="33"/>
        <v>0.38501214601843536</v>
      </c>
      <c r="R716" s="14">
        <f t="shared" si="34"/>
        <v>4162.1000000000004</v>
      </c>
      <c r="S716" s="15">
        <f t="shared" si="35"/>
        <v>4911.2780000000002</v>
      </c>
    </row>
    <row r="717" spans="1:19" x14ac:dyDescent="0.3">
      <c r="A717">
        <v>200010076</v>
      </c>
      <c r="B717">
        <v>273712658</v>
      </c>
      <c r="C717" s="11">
        <v>46223</v>
      </c>
      <c r="D717" s="1">
        <v>873943490368</v>
      </c>
      <c r="E717">
        <v>40895</v>
      </c>
      <c r="F717" t="s">
        <v>22</v>
      </c>
      <c r="G717" s="12">
        <v>8.5</v>
      </c>
      <c r="H717">
        <v>63</v>
      </c>
      <c r="I717">
        <v>28</v>
      </c>
      <c r="J717">
        <v>28</v>
      </c>
      <c r="K717" s="12">
        <v>8.5</v>
      </c>
      <c r="L717" t="s">
        <v>20</v>
      </c>
      <c r="M717" s="3">
        <v>3184.4</v>
      </c>
      <c r="N717" s="3">
        <v>561</v>
      </c>
      <c r="O717"/>
      <c r="P717" s="3">
        <v>1442</v>
      </c>
      <c r="Q717" s="13">
        <f t="shared" si="33"/>
        <v>0.38500560687777008</v>
      </c>
      <c r="R717" s="14">
        <f t="shared" si="34"/>
        <v>5187.3999999999996</v>
      </c>
      <c r="S717" s="15">
        <f t="shared" si="35"/>
        <v>6121.1319999999996</v>
      </c>
    </row>
    <row r="718" spans="1:19" x14ac:dyDescent="0.3">
      <c r="A718">
        <v>200010076</v>
      </c>
      <c r="B718">
        <v>273712658</v>
      </c>
      <c r="C718" s="11">
        <v>46223</v>
      </c>
      <c r="D718" s="1">
        <v>873943490482</v>
      </c>
      <c r="E718">
        <v>41017</v>
      </c>
      <c r="F718" t="s">
        <v>22</v>
      </c>
      <c r="G718" s="12">
        <v>5.5</v>
      </c>
      <c r="H718">
        <v>63</v>
      </c>
      <c r="I718">
        <v>23</v>
      </c>
      <c r="J718">
        <v>21</v>
      </c>
      <c r="K718" s="12">
        <v>5.5</v>
      </c>
      <c r="L718" t="s">
        <v>20</v>
      </c>
      <c r="M718" s="3">
        <v>2494</v>
      </c>
      <c r="N718" s="3">
        <v>363</v>
      </c>
      <c r="O718"/>
      <c r="P718" s="3">
        <v>1100</v>
      </c>
      <c r="Q718" s="13">
        <f t="shared" si="33"/>
        <v>0.38501925096254813</v>
      </c>
      <c r="R718" s="14">
        <f t="shared" si="34"/>
        <v>3957</v>
      </c>
      <c r="S718" s="15">
        <f t="shared" si="35"/>
        <v>4669.2599999999993</v>
      </c>
    </row>
    <row r="719" spans="1:19" x14ac:dyDescent="0.3">
      <c r="A719">
        <v>200010076</v>
      </c>
      <c r="B719">
        <v>273712658</v>
      </c>
      <c r="C719" s="11">
        <v>46223</v>
      </c>
      <c r="D719" s="1">
        <v>873943490600</v>
      </c>
      <c r="E719">
        <v>40667</v>
      </c>
      <c r="F719" t="s">
        <v>22</v>
      </c>
      <c r="G719" s="12">
        <v>3.5</v>
      </c>
      <c r="H719">
        <v>45</v>
      </c>
      <c r="I719">
        <v>21</v>
      </c>
      <c r="J719">
        <v>20</v>
      </c>
      <c r="K719" s="12">
        <v>3.5</v>
      </c>
      <c r="L719" t="s">
        <v>20</v>
      </c>
      <c r="M719" s="3">
        <v>1833.3</v>
      </c>
      <c r="N719" s="3">
        <v>231</v>
      </c>
      <c r="O719"/>
      <c r="P719" s="3">
        <v>794.8</v>
      </c>
      <c r="Q719" s="13">
        <f t="shared" si="33"/>
        <v>0.38502155694424256</v>
      </c>
      <c r="R719" s="14">
        <f t="shared" si="34"/>
        <v>2859.1000000000004</v>
      </c>
      <c r="S719" s="15">
        <f t="shared" si="35"/>
        <v>3373.7380000000003</v>
      </c>
    </row>
    <row r="720" spans="1:19" x14ac:dyDescent="0.3">
      <c r="A720">
        <v>200010076</v>
      </c>
      <c r="B720">
        <v>273712658</v>
      </c>
      <c r="C720" s="11">
        <v>46223</v>
      </c>
      <c r="D720" s="1">
        <v>873943490964</v>
      </c>
      <c r="E720">
        <v>41471</v>
      </c>
      <c r="F720" t="s">
        <v>22</v>
      </c>
      <c r="G720" s="12">
        <v>5</v>
      </c>
      <c r="H720">
        <v>51</v>
      </c>
      <c r="I720">
        <v>24</v>
      </c>
      <c r="J720">
        <v>23</v>
      </c>
      <c r="K720" s="12">
        <v>5</v>
      </c>
      <c r="L720" t="s">
        <v>20</v>
      </c>
      <c r="M720" s="3">
        <v>2231.6999999999998</v>
      </c>
      <c r="N720" s="3">
        <v>330</v>
      </c>
      <c r="O720"/>
      <c r="P720" s="3">
        <v>986.3</v>
      </c>
      <c r="Q720" s="13">
        <f t="shared" si="33"/>
        <v>0.38501776164265916</v>
      </c>
      <c r="R720" s="14">
        <f t="shared" si="34"/>
        <v>3548</v>
      </c>
      <c r="S720" s="15">
        <f t="shared" si="35"/>
        <v>4186.6399999999994</v>
      </c>
    </row>
    <row r="721" spans="1:19" x14ac:dyDescent="0.3">
      <c r="A721">
        <v>200010076</v>
      </c>
      <c r="B721">
        <v>273712658</v>
      </c>
      <c r="C721" s="11">
        <v>46223</v>
      </c>
      <c r="D721" s="1">
        <v>873943491700</v>
      </c>
      <c r="E721">
        <v>41132</v>
      </c>
      <c r="F721" t="s">
        <v>22</v>
      </c>
      <c r="G721" s="12">
        <v>8.4</v>
      </c>
      <c r="H721">
        <v>64</v>
      </c>
      <c r="I721">
        <v>30</v>
      </c>
      <c r="J721">
        <v>30</v>
      </c>
      <c r="K721" s="12">
        <v>9.6</v>
      </c>
      <c r="L721" t="s">
        <v>20</v>
      </c>
      <c r="M721" s="3">
        <v>3529.5</v>
      </c>
      <c r="N721" s="3">
        <v>660</v>
      </c>
      <c r="O721"/>
      <c r="P721" s="3">
        <v>1613</v>
      </c>
      <c r="Q721" s="13">
        <f t="shared" si="33"/>
        <v>0.38501014440864068</v>
      </c>
      <c r="R721" s="14">
        <f t="shared" si="34"/>
        <v>5802.5</v>
      </c>
      <c r="S721" s="15">
        <f t="shared" si="35"/>
        <v>6846.95</v>
      </c>
    </row>
    <row r="722" spans="1:19" x14ac:dyDescent="0.3">
      <c r="A722">
        <v>200010076</v>
      </c>
      <c r="B722">
        <v>273712658</v>
      </c>
      <c r="C722" s="11">
        <v>46223</v>
      </c>
      <c r="D722" s="1">
        <v>873943492636</v>
      </c>
      <c r="E722">
        <v>39665</v>
      </c>
      <c r="F722" t="s">
        <v>22</v>
      </c>
      <c r="G722" s="12">
        <v>2</v>
      </c>
      <c r="H722">
        <v>48</v>
      </c>
      <c r="I722">
        <v>15</v>
      </c>
      <c r="J722">
        <v>14</v>
      </c>
      <c r="K722" s="12">
        <v>2</v>
      </c>
      <c r="L722" t="s">
        <v>20</v>
      </c>
      <c r="M722" s="3">
        <v>1512.5</v>
      </c>
      <c r="N722" s="3">
        <v>132</v>
      </c>
      <c r="O722"/>
      <c r="P722" s="3">
        <v>633.1</v>
      </c>
      <c r="Q722" s="13">
        <f t="shared" si="33"/>
        <v>0.3849802371541502</v>
      </c>
      <c r="R722" s="14">
        <f t="shared" si="34"/>
        <v>2277.6</v>
      </c>
      <c r="S722" s="15">
        <f t="shared" si="35"/>
        <v>2687.5679999999998</v>
      </c>
    </row>
    <row r="723" spans="1:19" x14ac:dyDescent="0.3">
      <c r="A723">
        <v>200010076</v>
      </c>
      <c r="B723">
        <v>273712658</v>
      </c>
      <c r="C723" s="11">
        <v>46223</v>
      </c>
      <c r="D723" s="1">
        <v>873943493530</v>
      </c>
      <c r="E723">
        <v>39570</v>
      </c>
      <c r="F723" t="s">
        <v>22</v>
      </c>
      <c r="G723" s="12">
        <v>9.5</v>
      </c>
      <c r="H723">
        <v>62</v>
      </c>
      <c r="I723">
        <v>30</v>
      </c>
      <c r="J723">
        <v>29</v>
      </c>
      <c r="K723" s="12">
        <v>9.5</v>
      </c>
      <c r="L723" t="s">
        <v>20</v>
      </c>
      <c r="M723" s="3">
        <v>3414.5</v>
      </c>
      <c r="N723" s="3">
        <v>627</v>
      </c>
      <c r="O723"/>
      <c r="P723" s="3">
        <v>1556</v>
      </c>
      <c r="Q723" s="13">
        <f t="shared" si="33"/>
        <v>0.38500556723988616</v>
      </c>
      <c r="R723" s="14">
        <f t="shared" si="34"/>
        <v>5597.5</v>
      </c>
      <c r="S723" s="15">
        <f t="shared" si="35"/>
        <v>6605.0499999999993</v>
      </c>
    </row>
    <row r="724" spans="1:19" x14ac:dyDescent="0.3">
      <c r="A724">
        <v>200010076</v>
      </c>
      <c r="B724">
        <v>273712658</v>
      </c>
      <c r="C724" s="11">
        <v>46223</v>
      </c>
      <c r="D724" s="1">
        <v>873943493665</v>
      </c>
      <c r="E724">
        <v>41807</v>
      </c>
      <c r="F724" t="s">
        <v>22</v>
      </c>
      <c r="G724" s="12">
        <v>2</v>
      </c>
      <c r="H724">
        <v>43</v>
      </c>
      <c r="I724">
        <v>16</v>
      </c>
      <c r="J724">
        <v>14</v>
      </c>
      <c r="K724" s="12">
        <v>2</v>
      </c>
      <c r="L724" t="s">
        <v>20</v>
      </c>
      <c r="M724" s="3">
        <v>1512.5</v>
      </c>
      <c r="N724" s="3">
        <v>132</v>
      </c>
      <c r="O724"/>
      <c r="P724" s="3">
        <v>633.1</v>
      </c>
      <c r="Q724" s="13">
        <f t="shared" si="33"/>
        <v>0.3849802371541502</v>
      </c>
      <c r="R724" s="14">
        <f t="shared" si="34"/>
        <v>2277.6</v>
      </c>
      <c r="S724" s="15">
        <f t="shared" si="35"/>
        <v>2687.5679999999998</v>
      </c>
    </row>
    <row r="725" spans="1:19" x14ac:dyDescent="0.3">
      <c r="A725">
        <v>200010076</v>
      </c>
      <c r="B725">
        <v>273712658</v>
      </c>
      <c r="C725" s="11">
        <v>46223</v>
      </c>
      <c r="D725" s="1">
        <v>873943493676</v>
      </c>
      <c r="E725">
        <v>38700</v>
      </c>
      <c r="F725" t="s">
        <v>22</v>
      </c>
      <c r="G725" s="12">
        <v>10.5</v>
      </c>
      <c r="H725">
        <v>62</v>
      </c>
      <c r="I725">
        <v>32</v>
      </c>
      <c r="J725">
        <v>31</v>
      </c>
      <c r="K725" s="12">
        <v>10.5</v>
      </c>
      <c r="L725" t="s">
        <v>20</v>
      </c>
      <c r="M725" s="3">
        <v>4575.1000000000004</v>
      </c>
      <c r="N725" s="3">
        <v>693</v>
      </c>
      <c r="O725"/>
      <c r="P725" s="3">
        <v>2028.2</v>
      </c>
      <c r="Q725" s="13">
        <f t="shared" si="33"/>
        <v>0.38499648829748861</v>
      </c>
      <c r="R725" s="14">
        <f t="shared" si="34"/>
        <v>7296.3</v>
      </c>
      <c r="S725" s="15">
        <f t="shared" si="35"/>
        <v>8609.634</v>
      </c>
    </row>
    <row r="726" spans="1:19" x14ac:dyDescent="0.3">
      <c r="A726">
        <v>200010076</v>
      </c>
      <c r="B726">
        <v>273712658</v>
      </c>
      <c r="C726" s="11">
        <v>46223</v>
      </c>
      <c r="D726" s="1">
        <v>873943493757</v>
      </c>
      <c r="E726">
        <v>41735</v>
      </c>
      <c r="F726" t="s">
        <v>22</v>
      </c>
      <c r="G726" s="12">
        <v>2.5</v>
      </c>
      <c r="H726">
        <v>57</v>
      </c>
      <c r="I726">
        <v>15</v>
      </c>
      <c r="J726">
        <v>14</v>
      </c>
      <c r="K726" s="12">
        <v>2.5</v>
      </c>
      <c r="L726" t="s">
        <v>20</v>
      </c>
      <c r="M726" s="3">
        <v>1671.3</v>
      </c>
      <c r="N726" s="3">
        <v>165</v>
      </c>
      <c r="O726"/>
      <c r="P726" s="3">
        <v>707</v>
      </c>
      <c r="Q726" s="13">
        <f t="shared" si="33"/>
        <v>0.38501334204650656</v>
      </c>
      <c r="R726" s="14">
        <f t="shared" si="34"/>
        <v>2543.3000000000002</v>
      </c>
      <c r="S726" s="15">
        <f t="shared" si="35"/>
        <v>3001.0940000000001</v>
      </c>
    </row>
    <row r="727" spans="1:19" x14ac:dyDescent="0.3">
      <c r="A727">
        <v>200010076</v>
      </c>
      <c r="B727">
        <v>273712658</v>
      </c>
      <c r="C727" s="11">
        <v>46223</v>
      </c>
      <c r="D727" s="1">
        <v>873943494249</v>
      </c>
      <c r="E727">
        <v>41795</v>
      </c>
      <c r="F727" t="s">
        <v>22</v>
      </c>
      <c r="G727" s="12">
        <v>2</v>
      </c>
      <c r="H727">
        <v>55</v>
      </c>
      <c r="I727">
        <v>15</v>
      </c>
      <c r="J727">
        <v>13</v>
      </c>
      <c r="K727" s="12">
        <v>2</v>
      </c>
      <c r="L727" t="s">
        <v>20</v>
      </c>
      <c r="M727" s="3">
        <v>1512.5</v>
      </c>
      <c r="N727" s="3">
        <v>132</v>
      </c>
      <c r="O727"/>
      <c r="P727" s="3">
        <v>633.1</v>
      </c>
      <c r="Q727" s="13">
        <f t="shared" si="33"/>
        <v>0.3849802371541502</v>
      </c>
      <c r="R727" s="14">
        <f t="shared" si="34"/>
        <v>2277.6</v>
      </c>
      <c r="S727" s="15">
        <f t="shared" si="35"/>
        <v>2687.5679999999998</v>
      </c>
    </row>
    <row r="728" spans="1:19" x14ac:dyDescent="0.3">
      <c r="A728">
        <v>200010076</v>
      </c>
      <c r="B728">
        <v>273712658</v>
      </c>
      <c r="C728" s="11">
        <v>46223</v>
      </c>
      <c r="D728" s="1">
        <v>873943494720</v>
      </c>
      <c r="E728">
        <v>38331</v>
      </c>
      <c r="F728" t="s">
        <v>22</v>
      </c>
      <c r="G728" s="12">
        <v>6.1</v>
      </c>
      <c r="H728">
        <v>64</v>
      </c>
      <c r="I728">
        <v>31</v>
      </c>
      <c r="J728">
        <v>28</v>
      </c>
      <c r="K728" s="12">
        <v>9.3000000000000007</v>
      </c>
      <c r="L728" t="s">
        <v>20</v>
      </c>
      <c r="M728" s="3">
        <v>3414.5</v>
      </c>
      <c r="N728" s="3">
        <v>627</v>
      </c>
      <c r="O728"/>
      <c r="P728" s="3">
        <v>1556</v>
      </c>
      <c r="Q728" s="13">
        <f t="shared" si="33"/>
        <v>0.38500556723988616</v>
      </c>
      <c r="R728" s="14">
        <f t="shared" si="34"/>
        <v>5597.5</v>
      </c>
      <c r="S728" s="15">
        <f t="shared" si="35"/>
        <v>6605.0499999999993</v>
      </c>
    </row>
    <row r="729" spans="1:19" x14ac:dyDescent="0.3">
      <c r="A729">
        <v>200010076</v>
      </c>
      <c r="B729">
        <v>273712658</v>
      </c>
      <c r="C729" s="11">
        <v>46223</v>
      </c>
      <c r="D729" s="1">
        <v>873943495841</v>
      </c>
      <c r="E729">
        <v>4095843370</v>
      </c>
      <c r="F729" t="s">
        <v>22</v>
      </c>
      <c r="G729" s="12">
        <v>4.5</v>
      </c>
      <c r="H729">
        <v>55</v>
      </c>
      <c r="I729">
        <v>19</v>
      </c>
      <c r="J729">
        <v>19</v>
      </c>
      <c r="K729" s="12">
        <v>4.5</v>
      </c>
      <c r="L729" t="s">
        <v>20</v>
      </c>
      <c r="M729" s="3">
        <v>2098.9</v>
      </c>
      <c r="N729" s="3">
        <v>297</v>
      </c>
      <c r="O729"/>
      <c r="P729" s="3">
        <v>922.4</v>
      </c>
      <c r="Q729" s="13">
        <f t="shared" si="33"/>
        <v>0.38499102633665844</v>
      </c>
      <c r="R729" s="14">
        <f t="shared" si="34"/>
        <v>3318.3</v>
      </c>
      <c r="S729" s="15">
        <f t="shared" si="35"/>
        <v>3915.5940000000001</v>
      </c>
    </row>
    <row r="730" spans="1:19" x14ac:dyDescent="0.3">
      <c r="A730">
        <v>200010076</v>
      </c>
      <c r="B730">
        <v>273712658</v>
      </c>
      <c r="C730" s="11">
        <v>46223</v>
      </c>
      <c r="D730" s="1">
        <v>873943496230</v>
      </c>
      <c r="E730">
        <v>40176</v>
      </c>
      <c r="F730" t="s">
        <v>22</v>
      </c>
      <c r="G730" s="12">
        <v>4</v>
      </c>
      <c r="H730">
        <v>63</v>
      </c>
      <c r="I730">
        <v>20</v>
      </c>
      <c r="J730">
        <v>18</v>
      </c>
      <c r="K730" s="12">
        <v>4</v>
      </c>
      <c r="L730" t="s">
        <v>20</v>
      </c>
      <c r="M730" s="3">
        <v>1966.1</v>
      </c>
      <c r="N730" s="3">
        <v>264</v>
      </c>
      <c r="O730"/>
      <c r="P730" s="3">
        <v>858.6</v>
      </c>
      <c r="Q730" s="13">
        <f t="shared" si="33"/>
        <v>0.38500515671942964</v>
      </c>
      <c r="R730" s="14">
        <f t="shared" si="34"/>
        <v>3088.7</v>
      </c>
      <c r="S730" s="15">
        <f t="shared" si="35"/>
        <v>3644.6659999999997</v>
      </c>
    </row>
    <row r="731" spans="1:19" x14ac:dyDescent="0.3">
      <c r="A731">
        <v>200010076</v>
      </c>
      <c r="B731">
        <v>273712658</v>
      </c>
      <c r="C731" s="11">
        <v>46223</v>
      </c>
      <c r="D731" s="1">
        <v>873943496480</v>
      </c>
      <c r="E731">
        <v>41749</v>
      </c>
      <c r="F731" t="s">
        <v>22</v>
      </c>
      <c r="G731" s="12">
        <v>15.5</v>
      </c>
      <c r="H731">
        <v>68</v>
      </c>
      <c r="I731">
        <v>36</v>
      </c>
      <c r="J731">
        <v>36</v>
      </c>
      <c r="K731" s="12">
        <v>15.5</v>
      </c>
      <c r="L731" t="s">
        <v>20</v>
      </c>
      <c r="M731" s="3">
        <v>6282</v>
      </c>
      <c r="N731" s="3">
        <v>1023</v>
      </c>
      <c r="O731"/>
      <c r="P731" s="3">
        <v>2812.4</v>
      </c>
      <c r="Q731" s="13">
        <f t="shared" si="33"/>
        <v>0.38499657768651607</v>
      </c>
      <c r="R731" s="14">
        <f t="shared" si="34"/>
        <v>10117.4</v>
      </c>
      <c r="S731" s="15">
        <f t="shared" si="35"/>
        <v>11938.531999999999</v>
      </c>
    </row>
    <row r="732" spans="1:19" x14ac:dyDescent="0.3">
      <c r="A732">
        <v>200010076</v>
      </c>
      <c r="B732">
        <v>273712658</v>
      </c>
      <c r="C732" s="11">
        <v>46223</v>
      </c>
      <c r="D732" s="1">
        <v>873943496745</v>
      </c>
      <c r="E732">
        <v>41319</v>
      </c>
      <c r="F732" t="s">
        <v>22</v>
      </c>
      <c r="G732" s="12">
        <v>6</v>
      </c>
      <c r="H732">
        <v>54</v>
      </c>
      <c r="I732">
        <v>25</v>
      </c>
      <c r="J732">
        <v>24</v>
      </c>
      <c r="K732" s="12">
        <v>6</v>
      </c>
      <c r="L732" t="s">
        <v>20</v>
      </c>
      <c r="M732" s="3">
        <v>2609.1</v>
      </c>
      <c r="N732" s="3">
        <v>396</v>
      </c>
      <c r="O732"/>
      <c r="P732" s="3">
        <v>1157</v>
      </c>
      <c r="Q732" s="13">
        <f t="shared" si="33"/>
        <v>0.38501214601843536</v>
      </c>
      <c r="R732" s="14">
        <f t="shared" si="34"/>
        <v>4162.1000000000004</v>
      </c>
      <c r="S732" s="15">
        <f t="shared" si="35"/>
        <v>4911.2780000000002</v>
      </c>
    </row>
    <row r="733" spans="1:19" x14ac:dyDescent="0.3">
      <c r="A733">
        <v>200010076</v>
      </c>
      <c r="B733">
        <v>273712658</v>
      </c>
      <c r="C733" s="11">
        <v>46223</v>
      </c>
      <c r="D733" s="1">
        <v>873943496790</v>
      </c>
      <c r="E733">
        <v>40321</v>
      </c>
      <c r="F733" t="s">
        <v>22</v>
      </c>
      <c r="G733" s="12">
        <v>6</v>
      </c>
      <c r="H733">
        <v>44</v>
      </c>
      <c r="I733">
        <v>27</v>
      </c>
      <c r="J733">
        <v>27</v>
      </c>
      <c r="K733" s="12">
        <v>6</v>
      </c>
      <c r="L733" t="s">
        <v>20</v>
      </c>
      <c r="M733" s="3">
        <v>2609.1</v>
      </c>
      <c r="N733" s="3">
        <v>396</v>
      </c>
      <c r="O733"/>
      <c r="P733" s="3">
        <v>1157</v>
      </c>
      <c r="Q733" s="13">
        <f t="shared" si="33"/>
        <v>0.38501214601843536</v>
      </c>
      <c r="R733" s="14">
        <f t="shared" si="34"/>
        <v>4162.1000000000004</v>
      </c>
      <c r="S733" s="15">
        <f t="shared" si="35"/>
        <v>4911.2780000000002</v>
      </c>
    </row>
    <row r="734" spans="1:19" x14ac:dyDescent="0.3">
      <c r="A734">
        <v>200010076</v>
      </c>
      <c r="B734">
        <v>273712658</v>
      </c>
      <c r="C734" s="11">
        <v>46223</v>
      </c>
      <c r="D734" s="1">
        <v>873943497395</v>
      </c>
      <c r="E734">
        <v>41751</v>
      </c>
      <c r="F734" t="s">
        <v>22</v>
      </c>
      <c r="G734" s="12">
        <v>2.9</v>
      </c>
      <c r="H734">
        <v>54</v>
      </c>
      <c r="I734">
        <v>22</v>
      </c>
      <c r="J734">
        <v>22</v>
      </c>
      <c r="K734" s="12">
        <v>4.4000000000000004</v>
      </c>
      <c r="L734" t="s">
        <v>20</v>
      </c>
      <c r="M734" s="3">
        <v>2098.9</v>
      </c>
      <c r="N734" s="3">
        <v>297</v>
      </c>
      <c r="O734"/>
      <c r="P734" s="3">
        <v>922.4</v>
      </c>
      <c r="Q734" s="13">
        <f t="shared" si="33"/>
        <v>0.38499102633665844</v>
      </c>
      <c r="R734" s="14">
        <f t="shared" si="34"/>
        <v>3318.3</v>
      </c>
      <c r="S734" s="15">
        <f t="shared" si="35"/>
        <v>3915.5940000000001</v>
      </c>
    </row>
    <row r="735" spans="1:19" x14ac:dyDescent="0.3">
      <c r="A735">
        <v>200010076</v>
      </c>
      <c r="B735">
        <v>273712658</v>
      </c>
      <c r="C735" s="11">
        <v>46223</v>
      </c>
      <c r="D735" s="1">
        <v>873929050613</v>
      </c>
      <c r="E735">
        <v>42135</v>
      </c>
      <c r="F735" t="s">
        <v>22</v>
      </c>
      <c r="G735" s="12">
        <v>0.5</v>
      </c>
      <c r="K735" s="12">
        <v>0</v>
      </c>
      <c r="L735" t="s">
        <v>20</v>
      </c>
      <c r="M735" s="3">
        <v>1031.7</v>
      </c>
      <c r="N735" s="3">
        <v>42.5</v>
      </c>
      <c r="O735"/>
      <c r="P735" s="3">
        <v>413.6</v>
      </c>
      <c r="Q735" s="13">
        <f t="shared" si="33"/>
        <v>0.38503072053621301</v>
      </c>
      <c r="R735" s="14">
        <f t="shared" si="34"/>
        <v>1487.8000000000002</v>
      </c>
      <c r="S735" s="15">
        <f t="shared" si="35"/>
        <v>1755.604</v>
      </c>
    </row>
    <row r="736" spans="1:19" x14ac:dyDescent="0.3">
      <c r="A736">
        <v>200010076</v>
      </c>
      <c r="B736">
        <v>273712658</v>
      </c>
      <c r="C736" s="11">
        <v>46223</v>
      </c>
      <c r="D736" s="1">
        <v>873929051767</v>
      </c>
      <c r="E736">
        <v>42101</v>
      </c>
      <c r="F736" t="s">
        <v>22</v>
      </c>
      <c r="G736" s="12">
        <v>0.5</v>
      </c>
      <c r="K736" s="12">
        <v>0</v>
      </c>
      <c r="L736" t="s">
        <v>20</v>
      </c>
      <c r="M736" s="3">
        <v>1031.7</v>
      </c>
      <c r="N736" s="3">
        <v>42.5</v>
      </c>
      <c r="O736"/>
      <c r="P736" s="3">
        <v>413.6</v>
      </c>
      <c r="Q736" s="13">
        <f t="shared" si="33"/>
        <v>0.38503072053621301</v>
      </c>
      <c r="R736" s="14">
        <f t="shared" si="34"/>
        <v>1487.8000000000002</v>
      </c>
      <c r="S736" s="15">
        <f t="shared" si="35"/>
        <v>1755.604</v>
      </c>
    </row>
    <row r="737" spans="1:19" x14ac:dyDescent="0.3">
      <c r="A737">
        <v>200010076</v>
      </c>
      <c r="B737">
        <v>273712658</v>
      </c>
      <c r="C737" s="11">
        <v>46223</v>
      </c>
      <c r="D737" s="1">
        <v>873929056953</v>
      </c>
      <c r="E737">
        <v>42117</v>
      </c>
      <c r="F737" t="s">
        <v>22</v>
      </c>
      <c r="G737" s="12">
        <v>0.5</v>
      </c>
      <c r="K737" s="12">
        <v>0</v>
      </c>
      <c r="L737" t="s">
        <v>20</v>
      </c>
      <c r="M737" s="3">
        <v>1031.7</v>
      </c>
      <c r="N737" s="3">
        <v>42.5</v>
      </c>
      <c r="O737"/>
      <c r="P737" s="3">
        <v>413.6</v>
      </c>
      <c r="Q737" s="13">
        <f t="shared" si="33"/>
        <v>0.38503072053621301</v>
      </c>
      <c r="R737" s="14">
        <f t="shared" si="34"/>
        <v>1487.8000000000002</v>
      </c>
      <c r="S737" s="15">
        <f t="shared" si="35"/>
        <v>1755.604</v>
      </c>
    </row>
    <row r="738" spans="1:19" x14ac:dyDescent="0.3">
      <c r="A738">
        <v>200010076</v>
      </c>
      <c r="B738">
        <v>273712658</v>
      </c>
      <c r="C738" s="11">
        <v>46223</v>
      </c>
      <c r="D738" s="1">
        <v>873929057423</v>
      </c>
      <c r="E738">
        <v>42130</v>
      </c>
      <c r="F738" t="s">
        <v>22</v>
      </c>
      <c r="G738" s="12">
        <v>0.5</v>
      </c>
      <c r="K738" s="12">
        <v>0</v>
      </c>
      <c r="L738" t="s">
        <v>20</v>
      </c>
      <c r="M738" s="3">
        <v>1031.7</v>
      </c>
      <c r="N738" s="3">
        <v>42.5</v>
      </c>
      <c r="O738"/>
      <c r="P738" s="3">
        <v>413.6</v>
      </c>
      <c r="Q738" s="13">
        <f t="shared" si="33"/>
        <v>0.38503072053621301</v>
      </c>
      <c r="R738" s="14">
        <f t="shared" si="34"/>
        <v>1487.8000000000002</v>
      </c>
      <c r="S738" s="15">
        <f t="shared" si="35"/>
        <v>1755.604</v>
      </c>
    </row>
    <row r="739" spans="1:19" x14ac:dyDescent="0.3">
      <c r="A739">
        <v>200010076</v>
      </c>
      <c r="B739">
        <v>273712658</v>
      </c>
      <c r="C739" s="11">
        <v>46223</v>
      </c>
      <c r="D739" s="1">
        <v>873929065487</v>
      </c>
      <c r="E739">
        <v>42116</v>
      </c>
      <c r="F739" t="s">
        <v>22</v>
      </c>
      <c r="G739" s="12">
        <v>0.5</v>
      </c>
      <c r="K739" s="12">
        <v>0</v>
      </c>
      <c r="L739" t="s">
        <v>20</v>
      </c>
      <c r="M739" s="3">
        <v>1031.7</v>
      </c>
      <c r="N739" s="3">
        <v>42.5</v>
      </c>
      <c r="O739"/>
      <c r="P739" s="3">
        <v>413.6</v>
      </c>
      <c r="Q739" s="13">
        <f t="shared" si="33"/>
        <v>0.38503072053621301</v>
      </c>
      <c r="R739" s="14">
        <f t="shared" si="34"/>
        <v>1487.8000000000002</v>
      </c>
      <c r="S739" s="15">
        <f t="shared" si="35"/>
        <v>1755.604</v>
      </c>
    </row>
    <row r="740" spans="1:19" x14ac:dyDescent="0.3">
      <c r="A740">
        <v>200010076</v>
      </c>
      <c r="B740">
        <v>273712658</v>
      </c>
      <c r="C740" s="11">
        <v>46223</v>
      </c>
      <c r="D740" s="1">
        <v>873929073794</v>
      </c>
      <c r="E740">
        <v>42132</v>
      </c>
      <c r="F740" t="s">
        <v>22</v>
      </c>
      <c r="G740" s="12">
        <v>0.5</v>
      </c>
      <c r="K740" s="12">
        <v>0</v>
      </c>
      <c r="L740" t="s">
        <v>20</v>
      </c>
      <c r="M740" s="3">
        <v>1031.7</v>
      </c>
      <c r="N740" s="3">
        <v>42.5</v>
      </c>
      <c r="O740"/>
      <c r="P740" s="3">
        <v>413.6</v>
      </c>
      <c r="Q740" s="13">
        <f t="shared" si="33"/>
        <v>0.38503072053621301</v>
      </c>
      <c r="R740" s="14">
        <f t="shared" si="34"/>
        <v>1487.8000000000002</v>
      </c>
      <c r="S740" s="15">
        <f t="shared" si="35"/>
        <v>1755.604</v>
      </c>
    </row>
    <row r="741" spans="1:19" x14ac:dyDescent="0.3">
      <c r="A741">
        <v>200010076</v>
      </c>
      <c r="B741">
        <v>273712658</v>
      </c>
      <c r="C741" s="11">
        <v>46223</v>
      </c>
      <c r="D741" s="1">
        <v>873929073831</v>
      </c>
      <c r="E741">
        <v>42112</v>
      </c>
      <c r="F741" t="s">
        <v>22</v>
      </c>
      <c r="G741" s="12">
        <v>0.5</v>
      </c>
      <c r="K741" s="12">
        <v>0</v>
      </c>
      <c r="L741" t="s">
        <v>20</v>
      </c>
      <c r="M741" s="3">
        <v>1031.7</v>
      </c>
      <c r="N741" s="3">
        <v>42.5</v>
      </c>
      <c r="O741"/>
      <c r="P741" s="3">
        <v>413.6</v>
      </c>
      <c r="Q741" s="13">
        <f t="shared" si="33"/>
        <v>0.38503072053621301</v>
      </c>
      <c r="R741" s="14">
        <f t="shared" si="34"/>
        <v>1487.8000000000002</v>
      </c>
      <c r="S741" s="15">
        <f t="shared" si="35"/>
        <v>1755.604</v>
      </c>
    </row>
    <row r="742" spans="1:19" x14ac:dyDescent="0.3">
      <c r="A742">
        <v>200010076</v>
      </c>
      <c r="B742">
        <v>273712658</v>
      </c>
      <c r="C742" s="11">
        <v>46223</v>
      </c>
      <c r="D742" s="1">
        <v>873943484053</v>
      </c>
      <c r="E742">
        <v>4106634329</v>
      </c>
      <c r="F742" t="s">
        <v>22</v>
      </c>
      <c r="G742" s="12">
        <v>0.5</v>
      </c>
      <c r="K742" s="12">
        <v>0</v>
      </c>
      <c r="L742" t="s">
        <v>20</v>
      </c>
      <c r="M742" s="3">
        <v>1031.7</v>
      </c>
      <c r="N742" s="3">
        <v>42.5</v>
      </c>
      <c r="O742"/>
      <c r="P742" s="3">
        <v>413.6</v>
      </c>
      <c r="Q742" s="13">
        <f t="shared" si="33"/>
        <v>0.38503072053621301</v>
      </c>
      <c r="R742" s="14">
        <f t="shared" si="34"/>
        <v>1487.8000000000002</v>
      </c>
      <c r="S742" s="15">
        <f t="shared" si="35"/>
        <v>1755.604</v>
      </c>
    </row>
    <row r="743" spans="1:19" x14ac:dyDescent="0.3">
      <c r="A743">
        <v>200010076</v>
      </c>
      <c r="B743">
        <v>273712658</v>
      </c>
      <c r="C743" s="11">
        <v>46223</v>
      </c>
      <c r="D743" s="1">
        <v>873943488747</v>
      </c>
      <c r="E743">
        <v>42183</v>
      </c>
      <c r="F743" t="s">
        <v>22</v>
      </c>
      <c r="G743" s="12">
        <v>0.5</v>
      </c>
      <c r="K743" s="12">
        <v>0</v>
      </c>
      <c r="L743" t="s">
        <v>20</v>
      </c>
      <c r="M743" s="3">
        <v>1031.7</v>
      </c>
      <c r="N743" s="3">
        <v>42.5</v>
      </c>
      <c r="O743"/>
      <c r="P743" s="3">
        <v>413.6</v>
      </c>
      <c r="Q743" s="13">
        <f t="shared" si="33"/>
        <v>0.38503072053621301</v>
      </c>
      <c r="R743" s="14">
        <f t="shared" si="34"/>
        <v>1487.8000000000002</v>
      </c>
      <c r="S743" s="15">
        <f t="shared" si="35"/>
        <v>1755.604</v>
      </c>
    </row>
    <row r="744" spans="1:19" x14ac:dyDescent="0.3">
      <c r="A744">
        <v>200010076</v>
      </c>
      <c r="B744">
        <v>273712658</v>
      </c>
      <c r="C744" s="11">
        <v>46223</v>
      </c>
      <c r="D744" s="1">
        <v>873943489824</v>
      </c>
      <c r="E744">
        <v>42182</v>
      </c>
      <c r="F744" t="s">
        <v>22</v>
      </c>
      <c r="G744" s="12">
        <v>0.5</v>
      </c>
      <c r="K744" s="12">
        <v>0</v>
      </c>
      <c r="L744" t="s">
        <v>20</v>
      </c>
      <c r="M744" s="3">
        <v>1031.7</v>
      </c>
      <c r="N744" s="3">
        <v>42.5</v>
      </c>
      <c r="O744"/>
      <c r="P744" s="3">
        <v>413.6</v>
      </c>
      <c r="Q744" s="13">
        <f t="shared" si="33"/>
        <v>0.38503072053621301</v>
      </c>
      <c r="R744" s="14">
        <f t="shared" si="34"/>
        <v>1487.8000000000002</v>
      </c>
      <c r="S744" s="15">
        <f t="shared" si="35"/>
        <v>1755.604</v>
      </c>
    </row>
    <row r="745" spans="1:19" x14ac:dyDescent="0.3">
      <c r="A745">
        <v>200010076</v>
      </c>
      <c r="B745">
        <v>273712658</v>
      </c>
      <c r="C745" s="11">
        <v>46223</v>
      </c>
      <c r="D745" s="1">
        <v>873943489938</v>
      </c>
      <c r="E745">
        <v>42188</v>
      </c>
      <c r="F745" t="s">
        <v>22</v>
      </c>
      <c r="G745" s="12">
        <v>0.5</v>
      </c>
      <c r="K745" s="12">
        <v>0</v>
      </c>
      <c r="L745" t="s">
        <v>20</v>
      </c>
      <c r="M745" s="3">
        <v>1031.7</v>
      </c>
      <c r="N745" s="3">
        <v>42.5</v>
      </c>
      <c r="O745"/>
      <c r="P745" s="3">
        <v>413.6</v>
      </c>
      <c r="Q745" s="13">
        <f t="shared" si="33"/>
        <v>0.38503072053621301</v>
      </c>
      <c r="R745" s="14">
        <f t="shared" si="34"/>
        <v>1487.8000000000002</v>
      </c>
      <c r="S745" s="15">
        <f t="shared" si="35"/>
        <v>1755.604</v>
      </c>
    </row>
    <row r="746" spans="1:19" x14ac:dyDescent="0.3">
      <c r="A746">
        <v>200010076</v>
      </c>
      <c r="B746">
        <v>273712658</v>
      </c>
      <c r="C746" s="11">
        <v>46223</v>
      </c>
      <c r="D746" s="1">
        <v>873943492305</v>
      </c>
      <c r="E746">
        <v>4105562228</v>
      </c>
      <c r="F746" t="s">
        <v>22</v>
      </c>
      <c r="G746" s="12">
        <v>0.5</v>
      </c>
      <c r="K746" s="12">
        <v>0</v>
      </c>
      <c r="L746" t="s">
        <v>20</v>
      </c>
      <c r="M746" s="3">
        <v>1031.7</v>
      </c>
      <c r="N746" s="3">
        <v>42.5</v>
      </c>
      <c r="O746"/>
      <c r="P746" s="3">
        <v>413.6</v>
      </c>
      <c r="Q746" s="13">
        <f t="shared" si="33"/>
        <v>0.38503072053621301</v>
      </c>
      <c r="R746" s="14">
        <f t="shared" si="34"/>
        <v>1487.8000000000002</v>
      </c>
      <c r="S746" s="15">
        <f t="shared" si="35"/>
        <v>1755.604</v>
      </c>
    </row>
    <row r="747" spans="1:19" x14ac:dyDescent="0.3">
      <c r="A747">
        <v>200010076</v>
      </c>
      <c r="B747">
        <v>273712658</v>
      </c>
      <c r="C747" s="11">
        <v>46223</v>
      </c>
      <c r="D747" s="1">
        <v>873943492669</v>
      </c>
      <c r="E747">
        <v>42170</v>
      </c>
      <c r="F747" t="s">
        <v>22</v>
      </c>
      <c r="G747" s="12">
        <v>0.5</v>
      </c>
      <c r="K747" s="12">
        <v>0</v>
      </c>
      <c r="L747" t="s">
        <v>20</v>
      </c>
      <c r="M747" s="3">
        <v>1031.7</v>
      </c>
      <c r="N747" s="3">
        <v>42.5</v>
      </c>
      <c r="O747"/>
      <c r="P747" s="3">
        <v>413.6</v>
      </c>
      <c r="Q747" s="13">
        <f t="shared" si="33"/>
        <v>0.38503072053621301</v>
      </c>
      <c r="R747" s="14">
        <f t="shared" si="34"/>
        <v>1487.8000000000002</v>
      </c>
      <c r="S747" s="15">
        <f t="shared" si="35"/>
        <v>1755.604</v>
      </c>
    </row>
    <row r="748" spans="1:19" x14ac:dyDescent="0.3">
      <c r="A748">
        <v>200010076</v>
      </c>
      <c r="B748">
        <v>273712658</v>
      </c>
      <c r="C748" s="11">
        <v>46223</v>
      </c>
      <c r="D748" s="1">
        <v>873943494411</v>
      </c>
      <c r="E748">
        <v>42154</v>
      </c>
      <c r="F748" t="s">
        <v>22</v>
      </c>
      <c r="G748" s="12">
        <v>0.5</v>
      </c>
      <c r="K748" s="12">
        <v>0</v>
      </c>
      <c r="L748" t="s">
        <v>20</v>
      </c>
      <c r="M748" s="3">
        <v>1031.7</v>
      </c>
      <c r="N748" s="3">
        <v>42.5</v>
      </c>
      <c r="O748"/>
      <c r="P748" s="3">
        <v>413.6</v>
      </c>
      <c r="Q748" s="13">
        <f t="shared" ref="Q748:Q811" si="36">+P748/SUM(M748:O748)</f>
        <v>0.38503072053621301</v>
      </c>
      <c r="R748" s="14">
        <f t="shared" ref="R748:R811" si="37">SUM(M748:P748)</f>
        <v>1487.8000000000002</v>
      </c>
      <c r="S748" s="15">
        <f t="shared" ref="S748:S811" si="38">+R748*1.18</f>
        <v>1755.604</v>
      </c>
    </row>
    <row r="749" spans="1:19" x14ac:dyDescent="0.3">
      <c r="A749">
        <v>200010076</v>
      </c>
      <c r="B749">
        <v>273712658</v>
      </c>
      <c r="C749" s="11">
        <v>46223</v>
      </c>
      <c r="D749" s="1">
        <v>873943494639</v>
      </c>
      <c r="E749">
        <v>42158</v>
      </c>
      <c r="F749" t="s">
        <v>22</v>
      </c>
      <c r="G749" s="12">
        <v>0.5</v>
      </c>
      <c r="K749" s="12">
        <v>0</v>
      </c>
      <c r="L749" t="s">
        <v>20</v>
      </c>
      <c r="M749" s="3">
        <v>1031.7</v>
      </c>
      <c r="N749" s="3">
        <v>42.5</v>
      </c>
      <c r="O749"/>
      <c r="P749" s="3">
        <v>413.6</v>
      </c>
      <c r="Q749" s="13">
        <f t="shared" si="36"/>
        <v>0.38503072053621301</v>
      </c>
      <c r="R749" s="14">
        <f t="shared" si="37"/>
        <v>1487.8000000000002</v>
      </c>
      <c r="S749" s="15">
        <f t="shared" si="38"/>
        <v>1755.604</v>
      </c>
    </row>
    <row r="750" spans="1:19" x14ac:dyDescent="0.3">
      <c r="A750">
        <v>200010076</v>
      </c>
      <c r="B750">
        <v>273712658</v>
      </c>
      <c r="C750" s="11">
        <v>46223</v>
      </c>
      <c r="D750" s="1">
        <v>873943494856</v>
      </c>
      <c r="E750">
        <v>41780</v>
      </c>
      <c r="F750" t="s">
        <v>22</v>
      </c>
      <c r="G750" s="12">
        <v>0.5</v>
      </c>
      <c r="K750" s="12">
        <v>0</v>
      </c>
      <c r="L750" t="s">
        <v>20</v>
      </c>
      <c r="M750" s="3">
        <v>1031.7</v>
      </c>
      <c r="N750" s="3">
        <v>42.5</v>
      </c>
      <c r="O750"/>
      <c r="P750" s="3">
        <v>413.6</v>
      </c>
      <c r="Q750" s="13">
        <f t="shared" si="36"/>
        <v>0.38503072053621301</v>
      </c>
      <c r="R750" s="14">
        <f t="shared" si="37"/>
        <v>1487.8000000000002</v>
      </c>
      <c r="S750" s="15">
        <f t="shared" si="38"/>
        <v>1755.604</v>
      </c>
    </row>
    <row r="751" spans="1:19" x14ac:dyDescent="0.3">
      <c r="A751">
        <v>200010076</v>
      </c>
      <c r="B751">
        <v>273712658</v>
      </c>
      <c r="C751" s="11">
        <v>46223</v>
      </c>
      <c r="D751" s="1">
        <v>873943495808</v>
      </c>
      <c r="E751">
        <v>42180</v>
      </c>
      <c r="F751" t="s">
        <v>22</v>
      </c>
      <c r="G751" s="12">
        <v>0.5</v>
      </c>
      <c r="K751" s="12">
        <v>0</v>
      </c>
      <c r="L751" t="s">
        <v>20</v>
      </c>
      <c r="M751" s="3">
        <v>1031.7</v>
      </c>
      <c r="N751" s="3">
        <v>42.5</v>
      </c>
      <c r="O751"/>
      <c r="P751" s="3">
        <v>413.6</v>
      </c>
      <c r="Q751" s="13">
        <f t="shared" si="36"/>
        <v>0.38503072053621301</v>
      </c>
      <c r="R751" s="14">
        <f t="shared" si="37"/>
        <v>1487.8000000000002</v>
      </c>
      <c r="S751" s="15">
        <f t="shared" si="38"/>
        <v>1755.604</v>
      </c>
    </row>
    <row r="752" spans="1:19" x14ac:dyDescent="0.3">
      <c r="A752">
        <v>200010076</v>
      </c>
      <c r="B752">
        <v>273712658</v>
      </c>
      <c r="C752" s="11">
        <v>46223</v>
      </c>
      <c r="D752" s="1">
        <v>873943496951</v>
      </c>
      <c r="E752">
        <v>4105007704</v>
      </c>
      <c r="F752" t="s">
        <v>22</v>
      </c>
      <c r="G752" s="12">
        <v>0.5</v>
      </c>
      <c r="K752" s="12">
        <v>0</v>
      </c>
      <c r="L752" t="s">
        <v>20</v>
      </c>
      <c r="M752" s="3">
        <v>1031.7</v>
      </c>
      <c r="N752" s="3">
        <v>42.5</v>
      </c>
      <c r="O752"/>
      <c r="P752" s="3">
        <v>413.6</v>
      </c>
      <c r="Q752" s="13">
        <f t="shared" si="36"/>
        <v>0.38503072053621301</v>
      </c>
      <c r="R752" s="14">
        <f t="shared" si="37"/>
        <v>1487.8000000000002</v>
      </c>
      <c r="S752" s="15">
        <f t="shared" si="38"/>
        <v>1755.604</v>
      </c>
    </row>
    <row r="753" spans="1:19" x14ac:dyDescent="0.3">
      <c r="A753">
        <v>200010076</v>
      </c>
      <c r="B753">
        <v>273712658</v>
      </c>
      <c r="C753" s="11">
        <v>46223</v>
      </c>
      <c r="D753" s="1">
        <v>873943497590</v>
      </c>
      <c r="E753">
        <v>42181</v>
      </c>
      <c r="F753" t="s">
        <v>22</v>
      </c>
      <c r="G753" s="12">
        <v>0.5</v>
      </c>
      <c r="K753" s="12">
        <v>0</v>
      </c>
      <c r="L753" t="s">
        <v>20</v>
      </c>
      <c r="M753" s="3">
        <v>1031.7</v>
      </c>
      <c r="N753" s="3">
        <v>42.5</v>
      </c>
      <c r="O753"/>
      <c r="P753" s="3">
        <v>413.6</v>
      </c>
      <c r="Q753" s="13">
        <f t="shared" si="36"/>
        <v>0.38503072053621301</v>
      </c>
      <c r="R753" s="14">
        <f t="shared" si="37"/>
        <v>1487.8000000000002</v>
      </c>
      <c r="S753" s="15">
        <f t="shared" si="38"/>
        <v>1755.604</v>
      </c>
    </row>
    <row r="754" spans="1:19" x14ac:dyDescent="0.3">
      <c r="A754">
        <v>200010076</v>
      </c>
      <c r="B754">
        <v>273712658</v>
      </c>
      <c r="C754" s="11">
        <v>46223</v>
      </c>
      <c r="D754" s="1">
        <v>873943497638</v>
      </c>
      <c r="E754">
        <v>4102572457</v>
      </c>
      <c r="F754" t="s">
        <v>22</v>
      </c>
      <c r="G754" s="12">
        <v>0.5</v>
      </c>
      <c r="K754" s="12">
        <v>0</v>
      </c>
      <c r="L754" t="s">
        <v>20</v>
      </c>
      <c r="M754" s="3">
        <v>1031.7</v>
      </c>
      <c r="N754" s="3">
        <v>42.5</v>
      </c>
      <c r="O754"/>
      <c r="P754" s="3">
        <v>413.6</v>
      </c>
      <c r="Q754" s="13">
        <f t="shared" si="36"/>
        <v>0.38503072053621301</v>
      </c>
      <c r="R754" s="14">
        <f t="shared" si="37"/>
        <v>1487.8000000000002</v>
      </c>
      <c r="S754" s="15">
        <f t="shared" si="38"/>
        <v>1755.604</v>
      </c>
    </row>
    <row r="755" spans="1:19" x14ac:dyDescent="0.3">
      <c r="A755">
        <v>200010076</v>
      </c>
      <c r="B755">
        <v>273712658</v>
      </c>
      <c r="C755" s="11">
        <v>46223</v>
      </c>
      <c r="D755" s="1">
        <v>873983480945</v>
      </c>
      <c r="E755">
        <v>41957</v>
      </c>
      <c r="F755" t="s">
        <v>38</v>
      </c>
      <c r="G755" s="12">
        <v>3.2</v>
      </c>
      <c r="H755">
        <v>33</v>
      </c>
      <c r="I755">
        <v>25</v>
      </c>
      <c r="J755">
        <v>19</v>
      </c>
      <c r="K755" s="12">
        <v>3.2</v>
      </c>
      <c r="L755" t="s">
        <v>20</v>
      </c>
      <c r="M755" s="3">
        <v>1833.3</v>
      </c>
      <c r="N755" s="3">
        <v>231</v>
      </c>
      <c r="O755"/>
      <c r="P755" s="3">
        <v>789.6</v>
      </c>
      <c r="Q755" s="13">
        <f t="shared" si="36"/>
        <v>0.38250254323499489</v>
      </c>
      <c r="R755" s="14">
        <f t="shared" si="37"/>
        <v>2853.9</v>
      </c>
      <c r="S755" s="15">
        <f t="shared" si="38"/>
        <v>3367.6019999999999</v>
      </c>
    </row>
    <row r="756" spans="1:19" x14ac:dyDescent="0.3">
      <c r="A756">
        <v>200010076</v>
      </c>
      <c r="B756">
        <v>273712658</v>
      </c>
      <c r="C756" s="11">
        <v>46223</v>
      </c>
      <c r="D756" s="1">
        <v>873983482683</v>
      </c>
      <c r="E756">
        <v>4093377138</v>
      </c>
      <c r="F756" t="s">
        <v>38</v>
      </c>
      <c r="G756" s="12">
        <v>2</v>
      </c>
      <c r="H756">
        <v>39</v>
      </c>
      <c r="I756">
        <v>16</v>
      </c>
      <c r="J756">
        <v>15</v>
      </c>
      <c r="K756" s="12">
        <v>2</v>
      </c>
      <c r="L756" t="s">
        <v>20</v>
      </c>
      <c r="M756" s="3">
        <v>1512.5</v>
      </c>
      <c r="N756" s="3">
        <v>132</v>
      </c>
      <c r="O756"/>
      <c r="P756" s="3">
        <v>629</v>
      </c>
      <c r="Q756" s="13">
        <f t="shared" si="36"/>
        <v>0.38248707813925203</v>
      </c>
      <c r="R756" s="14">
        <f t="shared" si="37"/>
        <v>2273.5</v>
      </c>
      <c r="S756" s="15">
        <f t="shared" si="38"/>
        <v>2682.73</v>
      </c>
    </row>
    <row r="757" spans="1:19" x14ac:dyDescent="0.3">
      <c r="A757">
        <v>200010076</v>
      </c>
      <c r="B757">
        <v>273712658</v>
      </c>
      <c r="C757" s="11">
        <v>46223</v>
      </c>
      <c r="D757" s="1">
        <v>873983483039</v>
      </c>
      <c r="E757">
        <v>41710</v>
      </c>
      <c r="F757" t="s">
        <v>38</v>
      </c>
      <c r="G757" s="12">
        <v>2</v>
      </c>
      <c r="H757">
        <v>25</v>
      </c>
      <c r="I757">
        <v>22</v>
      </c>
      <c r="J757">
        <v>18</v>
      </c>
      <c r="K757" s="12">
        <v>2</v>
      </c>
      <c r="L757" t="s">
        <v>20</v>
      </c>
      <c r="M757" s="3">
        <v>1512.5</v>
      </c>
      <c r="N757" s="3">
        <v>132</v>
      </c>
      <c r="O757"/>
      <c r="P757" s="3">
        <v>629</v>
      </c>
      <c r="Q757" s="13">
        <f t="shared" si="36"/>
        <v>0.38248707813925203</v>
      </c>
      <c r="R757" s="14">
        <f t="shared" si="37"/>
        <v>2273.5</v>
      </c>
      <c r="S757" s="15">
        <f t="shared" si="38"/>
        <v>2682.73</v>
      </c>
    </row>
    <row r="758" spans="1:19" x14ac:dyDescent="0.3">
      <c r="A758">
        <v>200010076</v>
      </c>
      <c r="B758">
        <v>273712658</v>
      </c>
      <c r="C758" s="11">
        <v>46223</v>
      </c>
      <c r="D758" s="1">
        <v>873983483841</v>
      </c>
      <c r="E758">
        <v>40205</v>
      </c>
      <c r="F758" t="s">
        <v>38</v>
      </c>
      <c r="G758" s="12">
        <v>1.6</v>
      </c>
      <c r="H758">
        <v>33</v>
      </c>
      <c r="I758">
        <v>26</v>
      </c>
      <c r="J758">
        <v>13</v>
      </c>
      <c r="K758" s="12">
        <v>1.9</v>
      </c>
      <c r="L758" t="s">
        <v>20</v>
      </c>
      <c r="M758" s="3">
        <v>1512.5</v>
      </c>
      <c r="N758" s="3">
        <v>132</v>
      </c>
      <c r="O758"/>
      <c r="P758" s="3">
        <v>629</v>
      </c>
      <c r="Q758" s="13">
        <f t="shared" si="36"/>
        <v>0.38248707813925203</v>
      </c>
      <c r="R758" s="14">
        <f t="shared" si="37"/>
        <v>2273.5</v>
      </c>
      <c r="S758" s="15">
        <f t="shared" si="38"/>
        <v>2682.73</v>
      </c>
    </row>
    <row r="759" spans="1:19" x14ac:dyDescent="0.3">
      <c r="A759">
        <v>200010076</v>
      </c>
      <c r="B759">
        <v>273712658</v>
      </c>
      <c r="C759" s="11">
        <v>46223</v>
      </c>
      <c r="D759" s="1">
        <v>873983491221</v>
      </c>
      <c r="E759">
        <v>40077</v>
      </c>
      <c r="F759" t="s">
        <v>38</v>
      </c>
      <c r="G759" s="12">
        <v>8</v>
      </c>
      <c r="H759">
        <v>58</v>
      </c>
      <c r="I759">
        <v>34</v>
      </c>
      <c r="J759">
        <v>33</v>
      </c>
      <c r="K759" s="12">
        <v>10.8</v>
      </c>
      <c r="L759" t="s">
        <v>20</v>
      </c>
      <c r="M759" s="3">
        <v>4745.8</v>
      </c>
      <c r="N759" s="3">
        <v>726</v>
      </c>
      <c r="O759"/>
      <c r="P759" s="3">
        <v>2093</v>
      </c>
      <c r="Q759" s="13">
        <f t="shared" si="36"/>
        <v>0.38250667056544463</v>
      </c>
      <c r="R759" s="14">
        <f t="shared" si="37"/>
        <v>7564.8</v>
      </c>
      <c r="S759" s="15">
        <f t="shared" si="38"/>
        <v>8926.4639999999999</v>
      </c>
    </row>
    <row r="760" spans="1:19" x14ac:dyDescent="0.3">
      <c r="A760">
        <v>200010076</v>
      </c>
      <c r="B760">
        <v>273712658</v>
      </c>
      <c r="C760" s="11">
        <v>46223</v>
      </c>
      <c r="D760" s="1">
        <v>873983494025</v>
      </c>
      <c r="E760">
        <v>41588</v>
      </c>
      <c r="F760" t="s">
        <v>38</v>
      </c>
      <c r="G760" s="12">
        <v>4.5</v>
      </c>
      <c r="H760">
        <v>55</v>
      </c>
      <c r="I760">
        <v>22</v>
      </c>
      <c r="J760">
        <v>21</v>
      </c>
      <c r="K760" s="12">
        <v>4.5</v>
      </c>
      <c r="L760" t="s">
        <v>20</v>
      </c>
      <c r="M760" s="3">
        <v>2098.9</v>
      </c>
      <c r="N760" s="3">
        <v>297</v>
      </c>
      <c r="O760"/>
      <c r="P760" s="3">
        <v>916.4</v>
      </c>
      <c r="Q760" s="13">
        <f t="shared" si="36"/>
        <v>0.3824867481948328</v>
      </c>
      <c r="R760" s="14">
        <f t="shared" si="37"/>
        <v>3312.3</v>
      </c>
      <c r="S760" s="15">
        <f t="shared" si="38"/>
        <v>3908.5140000000001</v>
      </c>
    </row>
    <row r="761" spans="1:19" x14ac:dyDescent="0.3">
      <c r="A761">
        <v>200010076</v>
      </c>
      <c r="B761">
        <v>273712658</v>
      </c>
      <c r="C761" s="11">
        <v>46223</v>
      </c>
      <c r="D761" s="1">
        <v>873983494080</v>
      </c>
      <c r="E761">
        <v>41198</v>
      </c>
      <c r="F761" t="s">
        <v>38</v>
      </c>
      <c r="G761" s="12">
        <v>3</v>
      </c>
      <c r="H761">
        <v>44</v>
      </c>
      <c r="I761">
        <v>19</v>
      </c>
      <c r="J761">
        <v>19</v>
      </c>
      <c r="K761" s="12">
        <v>3</v>
      </c>
      <c r="L761" t="s">
        <v>20</v>
      </c>
      <c r="M761" s="3">
        <v>1700.6</v>
      </c>
      <c r="N761" s="3">
        <v>198</v>
      </c>
      <c r="O761"/>
      <c r="P761" s="3">
        <v>726.2</v>
      </c>
      <c r="Q761" s="13">
        <f t="shared" si="36"/>
        <v>0.38249236279363746</v>
      </c>
      <c r="R761" s="14">
        <f t="shared" si="37"/>
        <v>2624.8</v>
      </c>
      <c r="S761" s="15">
        <f t="shared" si="38"/>
        <v>3097.2640000000001</v>
      </c>
    </row>
    <row r="762" spans="1:19" x14ac:dyDescent="0.3">
      <c r="A762">
        <v>200010076</v>
      </c>
      <c r="B762">
        <v>273712658</v>
      </c>
      <c r="C762" s="11">
        <v>46223</v>
      </c>
      <c r="D762" s="1">
        <v>873983496554</v>
      </c>
      <c r="E762">
        <v>40341</v>
      </c>
      <c r="F762" t="s">
        <v>38</v>
      </c>
      <c r="G762" s="12">
        <v>2</v>
      </c>
      <c r="H762">
        <v>50</v>
      </c>
      <c r="I762">
        <v>15</v>
      </c>
      <c r="J762">
        <v>13</v>
      </c>
      <c r="K762" s="12">
        <v>2</v>
      </c>
      <c r="L762" t="s">
        <v>20</v>
      </c>
      <c r="M762" s="3">
        <v>1512.5</v>
      </c>
      <c r="N762" s="3">
        <v>132</v>
      </c>
      <c r="O762"/>
      <c r="P762" s="3">
        <v>629</v>
      </c>
      <c r="Q762" s="13">
        <f t="shared" si="36"/>
        <v>0.38248707813925203</v>
      </c>
      <c r="R762" s="14">
        <f t="shared" si="37"/>
        <v>2273.5</v>
      </c>
      <c r="S762" s="15">
        <f t="shared" si="38"/>
        <v>2682.73</v>
      </c>
    </row>
    <row r="763" spans="1:19" x14ac:dyDescent="0.3">
      <c r="A763">
        <v>200010076</v>
      </c>
      <c r="B763">
        <v>273712658</v>
      </c>
      <c r="C763" s="11">
        <v>46223</v>
      </c>
      <c r="D763" s="1">
        <v>873983497951</v>
      </c>
      <c r="E763">
        <v>40250</v>
      </c>
      <c r="F763" t="s">
        <v>38</v>
      </c>
      <c r="G763" s="12">
        <v>13.9</v>
      </c>
      <c r="H763">
        <v>114</v>
      </c>
      <c r="I763">
        <v>33</v>
      </c>
      <c r="J763">
        <v>33</v>
      </c>
      <c r="K763" s="12">
        <v>20.7</v>
      </c>
      <c r="L763" t="s">
        <v>20</v>
      </c>
      <c r="M763" s="3">
        <v>8375.4</v>
      </c>
      <c r="N763" s="3">
        <v>1386</v>
      </c>
      <c r="O763"/>
      <c r="P763" s="3">
        <v>3733.7</v>
      </c>
      <c r="Q763" s="13">
        <f t="shared" si="36"/>
        <v>0.38249636322658637</v>
      </c>
      <c r="R763" s="14">
        <f t="shared" si="37"/>
        <v>13495.099999999999</v>
      </c>
      <c r="S763" s="15">
        <f t="shared" si="38"/>
        <v>15924.217999999997</v>
      </c>
    </row>
    <row r="764" spans="1:19" x14ac:dyDescent="0.3">
      <c r="A764">
        <v>200010076</v>
      </c>
      <c r="B764">
        <v>273712658</v>
      </c>
      <c r="C764" s="11">
        <v>46223</v>
      </c>
      <c r="D764" s="1">
        <v>873983503435</v>
      </c>
      <c r="E764">
        <v>38879</v>
      </c>
      <c r="F764" t="s">
        <v>38</v>
      </c>
      <c r="G764" s="12">
        <v>2.5</v>
      </c>
      <c r="H764">
        <v>49</v>
      </c>
      <c r="I764">
        <v>15</v>
      </c>
      <c r="J764">
        <v>15</v>
      </c>
      <c r="K764" s="12">
        <v>2.5</v>
      </c>
      <c r="L764" t="s">
        <v>20</v>
      </c>
      <c r="M764" s="3">
        <v>1671.3</v>
      </c>
      <c r="N764" s="3">
        <v>165</v>
      </c>
      <c r="O764"/>
      <c r="P764" s="3">
        <v>702.4</v>
      </c>
      <c r="Q764" s="13">
        <f t="shared" si="36"/>
        <v>0.38250830474323366</v>
      </c>
      <c r="R764" s="14">
        <f t="shared" si="37"/>
        <v>2538.6999999999998</v>
      </c>
      <c r="S764" s="15">
        <f t="shared" si="38"/>
        <v>2995.6659999999997</v>
      </c>
    </row>
    <row r="765" spans="1:19" x14ac:dyDescent="0.3">
      <c r="A765">
        <v>200010076</v>
      </c>
      <c r="B765">
        <v>273712658</v>
      </c>
      <c r="C765" s="11">
        <v>46223</v>
      </c>
      <c r="D765" s="1">
        <v>873983506099</v>
      </c>
      <c r="E765">
        <v>41743</v>
      </c>
      <c r="F765" t="s">
        <v>38</v>
      </c>
      <c r="G765" s="12">
        <v>10.5</v>
      </c>
      <c r="H765">
        <v>91</v>
      </c>
      <c r="I765">
        <v>26</v>
      </c>
      <c r="J765">
        <v>26</v>
      </c>
      <c r="K765" s="12">
        <v>10.5</v>
      </c>
      <c r="L765" t="s">
        <v>20</v>
      </c>
      <c r="M765" s="3">
        <v>4575.1000000000004</v>
      </c>
      <c r="N765" s="3">
        <v>693</v>
      </c>
      <c r="O765"/>
      <c r="P765" s="3">
        <v>2015.1</v>
      </c>
      <c r="Q765" s="13">
        <f t="shared" si="36"/>
        <v>0.38250982327594385</v>
      </c>
      <c r="R765" s="14">
        <f t="shared" si="37"/>
        <v>7283.2000000000007</v>
      </c>
      <c r="S765" s="15">
        <f t="shared" si="38"/>
        <v>8594.1760000000013</v>
      </c>
    </row>
    <row r="766" spans="1:19" x14ac:dyDescent="0.3">
      <c r="A766">
        <v>200010076</v>
      </c>
      <c r="B766">
        <v>273712658</v>
      </c>
      <c r="C766" s="11">
        <v>46223</v>
      </c>
      <c r="D766" s="1">
        <v>873983504784</v>
      </c>
      <c r="E766">
        <v>42143</v>
      </c>
      <c r="F766" t="s">
        <v>38</v>
      </c>
      <c r="G766" s="12">
        <v>0.5</v>
      </c>
      <c r="K766" s="12">
        <v>0</v>
      </c>
      <c r="L766" t="s">
        <v>20</v>
      </c>
      <c r="M766" s="3">
        <v>1031.7</v>
      </c>
      <c r="N766" s="3">
        <v>42.5</v>
      </c>
      <c r="O766"/>
      <c r="P766" s="3">
        <v>410.9</v>
      </c>
      <c r="Q766" s="13">
        <f t="shared" si="36"/>
        <v>0.38251722211878603</v>
      </c>
      <c r="R766" s="14">
        <f t="shared" si="37"/>
        <v>1485.1</v>
      </c>
      <c r="S766" s="15">
        <f t="shared" si="38"/>
        <v>1752.4179999999999</v>
      </c>
    </row>
    <row r="767" spans="1:19" x14ac:dyDescent="0.3">
      <c r="A767">
        <v>200010076</v>
      </c>
      <c r="B767">
        <v>273712658</v>
      </c>
      <c r="C767" s="11">
        <v>46223</v>
      </c>
      <c r="D767" s="1">
        <v>874044153812</v>
      </c>
      <c r="E767">
        <v>40864</v>
      </c>
      <c r="F767" t="s">
        <v>39</v>
      </c>
      <c r="G767" s="12">
        <v>5.5</v>
      </c>
      <c r="H767">
        <v>35</v>
      </c>
      <c r="I767">
        <v>29</v>
      </c>
      <c r="J767">
        <v>24</v>
      </c>
      <c r="K767" s="12">
        <v>5.5</v>
      </c>
      <c r="L767" t="s">
        <v>20</v>
      </c>
      <c r="M767" s="3">
        <v>2494</v>
      </c>
      <c r="N767" s="3">
        <v>363</v>
      </c>
      <c r="O767"/>
      <c r="P767" s="3">
        <v>1092.8</v>
      </c>
      <c r="Q767" s="13">
        <f t="shared" si="36"/>
        <v>0.38249912495624777</v>
      </c>
      <c r="R767" s="14">
        <f t="shared" si="37"/>
        <v>3949.8</v>
      </c>
      <c r="S767" s="15">
        <f t="shared" si="38"/>
        <v>4660.7640000000001</v>
      </c>
    </row>
    <row r="768" spans="1:19" x14ac:dyDescent="0.3">
      <c r="A768">
        <v>200010076</v>
      </c>
      <c r="B768">
        <v>273712658</v>
      </c>
      <c r="C768" s="11">
        <v>46223</v>
      </c>
      <c r="D768" s="1">
        <v>874044156513</v>
      </c>
      <c r="E768">
        <v>39642</v>
      </c>
      <c r="F768" t="s">
        <v>39</v>
      </c>
      <c r="G768" s="12">
        <v>2.5</v>
      </c>
      <c r="H768">
        <v>49</v>
      </c>
      <c r="I768">
        <v>16</v>
      </c>
      <c r="J768">
        <v>16</v>
      </c>
      <c r="K768" s="12">
        <v>2.5</v>
      </c>
      <c r="L768" t="s">
        <v>20</v>
      </c>
      <c r="M768" s="3">
        <v>1671.3</v>
      </c>
      <c r="N768" s="3">
        <v>165</v>
      </c>
      <c r="O768"/>
      <c r="P768" s="3">
        <v>702.4</v>
      </c>
      <c r="Q768" s="13">
        <f t="shared" si="36"/>
        <v>0.38250830474323366</v>
      </c>
      <c r="R768" s="14">
        <f t="shared" si="37"/>
        <v>2538.6999999999998</v>
      </c>
      <c r="S768" s="15">
        <f t="shared" si="38"/>
        <v>2995.6659999999997</v>
      </c>
    </row>
    <row r="769" spans="1:19" x14ac:dyDescent="0.3">
      <c r="A769">
        <v>200010076</v>
      </c>
      <c r="B769">
        <v>273712658</v>
      </c>
      <c r="C769" s="11">
        <v>46223</v>
      </c>
      <c r="D769" s="1">
        <v>874044156925</v>
      </c>
      <c r="E769">
        <v>4097038524</v>
      </c>
      <c r="F769" t="s">
        <v>39</v>
      </c>
      <c r="G769" s="12">
        <v>3.5</v>
      </c>
      <c r="H769">
        <v>43</v>
      </c>
      <c r="I769">
        <v>22</v>
      </c>
      <c r="J769">
        <v>21</v>
      </c>
      <c r="K769" s="12">
        <v>3.5</v>
      </c>
      <c r="L769" t="s">
        <v>20</v>
      </c>
      <c r="M769" s="3">
        <v>1833.3</v>
      </c>
      <c r="N769" s="3">
        <v>231</v>
      </c>
      <c r="O769"/>
      <c r="P769" s="3">
        <v>789.6</v>
      </c>
      <c r="Q769" s="13">
        <f t="shared" si="36"/>
        <v>0.38250254323499489</v>
      </c>
      <c r="R769" s="14">
        <f t="shared" si="37"/>
        <v>2853.9</v>
      </c>
      <c r="S769" s="15">
        <f t="shared" si="38"/>
        <v>3367.6019999999999</v>
      </c>
    </row>
    <row r="770" spans="1:19" x14ac:dyDescent="0.3">
      <c r="A770">
        <v>200010076</v>
      </c>
      <c r="B770">
        <v>273712658</v>
      </c>
      <c r="C770" s="11">
        <v>46223</v>
      </c>
      <c r="D770" s="1">
        <v>874044157542</v>
      </c>
      <c r="E770">
        <v>39016</v>
      </c>
      <c r="F770" t="s">
        <v>39</v>
      </c>
      <c r="G770" s="12">
        <v>5.5</v>
      </c>
      <c r="H770">
        <v>57</v>
      </c>
      <c r="I770">
        <v>24</v>
      </c>
      <c r="J770">
        <v>23</v>
      </c>
      <c r="K770" s="12">
        <v>5.5</v>
      </c>
      <c r="L770" t="s">
        <v>20</v>
      </c>
      <c r="M770" s="3">
        <v>2494</v>
      </c>
      <c r="N770" s="3">
        <v>363</v>
      </c>
      <c r="O770"/>
      <c r="P770" s="3">
        <v>1092.8</v>
      </c>
      <c r="Q770" s="13">
        <f t="shared" si="36"/>
        <v>0.38249912495624777</v>
      </c>
      <c r="R770" s="14">
        <f t="shared" si="37"/>
        <v>3949.8</v>
      </c>
      <c r="S770" s="15">
        <f t="shared" si="38"/>
        <v>4660.7640000000001</v>
      </c>
    </row>
    <row r="771" spans="1:19" x14ac:dyDescent="0.3">
      <c r="A771">
        <v>200010076</v>
      </c>
      <c r="B771">
        <v>273712658</v>
      </c>
      <c r="C771" s="11">
        <v>46223</v>
      </c>
      <c r="D771" s="1">
        <v>874044162081</v>
      </c>
      <c r="E771">
        <v>37599</v>
      </c>
      <c r="F771" t="s">
        <v>39</v>
      </c>
      <c r="G771" s="12">
        <v>6.5</v>
      </c>
      <c r="H771">
        <v>66</v>
      </c>
      <c r="I771">
        <v>26</v>
      </c>
      <c r="J771">
        <v>24</v>
      </c>
      <c r="K771" s="12">
        <v>6.9</v>
      </c>
      <c r="L771" t="s">
        <v>20</v>
      </c>
      <c r="M771" s="3">
        <v>2839.2</v>
      </c>
      <c r="N771" s="3">
        <v>462</v>
      </c>
      <c r="O771"/>
      <c r="P771" s="3">
        <v>1262.7</v>
      </c>
      <c r="Q771" s="13">
        <f t="shared" si="36"/>
        <v>0.38249727371864778</v>
      </c>
      <c r="R771" s="14">
        <f t="shared" si="37"/>
        <v>4563.8999999999996</v>
      </c>
      <c r="S771" s="15">
        <f t="shared" si="38"/>
        <v>5385.4019999999991</v>
      </c>
    </row>
    <row r="772" spans="1:19" x14ac:dyDescent="0.3">
      <c r="A772">
        <v>200010076</v>
      </c>
      <c r="B772">
        <v>273712658</v>
      </c>
      <c r="C772" s="11">
        <v>46223</v>
      </c>
      <c r="D772" s="1">
        <v>874044164029</v>
      </c>
      <c r="E772">
        <v>39716</v>
      </c>
      <c r="F772" t="s">
        <v>39</v>
      </c>
      <c r="G772" s="12">
        <v>3</v>
      </c>
      <c r="H772">
        <v>54</v>
      </c>
      <c r="I772">
        <v>23</v>
      </c>
      <c r="J772">
        <v>22</v>
      </c>
      <c r="K772" s="12">
        <v>4.5</v>
      </c>
      <c r="L772" t="s">
        <v>20</v>
      </c>
      <c r="M772" s="3">
        <v>2098.9</v>
      </c>
      <c r="N772" s="3">
        <v>297</v>
      </c>
      <c r="O772"/>
      <c r="P772" s="3">
        <v>916.4</v>
      </c>
      <c r="Q772" s="13">
        <f t="shared" si="36"/>
        <v>0.3824867481948328</v>
      </c>
      <c r="R772" s="14">
        <f t="shared" si="37"/>
        <v>3312.3</v>
      </c>
      <c r="S772" s="15">
        <f t="shared" si="38"/>
        <v>3908.5140000000001</v>
      </c>
    </row>
    <row r="773" spans="1:19" x14ac:dyDescent="0.3">
      <c r="A773">
        <v>200010076</v>
      </c>
      <c r="B773">
        <v>273712658</v>
      </c>
      <c r="C773" s="11">
        <v>46223</v>
      </c>
      <c r="D773" s="1">
        <v>874044170517</v>
      </c>
      <c r="E773">
        <v>40418</v>
      </c>
      <c r="F773" t="s">
        <v>39</v>
      </c>
      <c r="G773" s="12">
        <v>0.7</v>
      </c>
      <c r="H773">
        <v>35</v>
      </c>
      <c r="I773">
        <v>27</v>
      </c>
      <c r="J773">
        <v>7</v>
      </c>
      <c r="K773" s="12">
        <v>1.1000000000000001</v>
      </c>
      <c r="L773" t="s">
        <v>20</v>
      </c>
      <c r="M773" s="3">
        <v>1353.7</v>
      </c>
      <c r="N773" s="3">
        <v>99</v>
      </c>
      <c r="O773"/>
      <c r="P773" s="3">
        <v>555.70000000000005</v>
      </c>
      <c r="Q773" s="13">
        <f t="shared" si="36"/>
        <v>0.38252908377503958</v>
      </c>
      <c r="R773" s="14">
        <f t="shared" si="37"/>
        <v>2008.4</v>
      </c>
      <c r="S773" s="15">
        <f t="shared" si="38"/>
        <v>2369.9119999999998</v>
      </c>
    </row>
    <row r="774" spans="1:19" x14ac:dyDescent="0.3">
      <c r="A774">
        <v>200010076</v>
      </c>
      <c r="B774">
        <v>273712658</v>
      </c>
      <c r="C774" s="11">
        <v>46223</v>
      </c>
      <c r="D774" s="1">
        <v>874044170870</v>
      </c>
      <c r="E774">
        <v>39817</v>
      </c>
      <c r="F774" t="s">
        <v>39</v>
      </c>
      <c r="G774" s="12">
        <v>5.5</v>
      </c>
      <c r="H774">
        <v>47</v>
      </c>
      <c r="I774">
        <v>26</v>
      </c>
      <c r="J774">
        <v>25</v>
      </c>
      <c r="K774" s="12">
        <v>5.5</v>
      </c>
      <c r="L774" t="s">
        <v>20</v>
      </c>
      <c r="M774" s="3">
        <v>2494</v>
      </c>
      <c r="N774" s="3">
        <v>363</v>
      </c>
      <c r="O774"/>
      <c r="P774" s="3">
        <v>1092.8</v>
      </c>
      <c r="Q774" s="13">
        <f t="shared" si="36"/>
        <v>0.38249912495624777</v>
      </c>
      <c r="R774" s="14">
        <f t="shared" si="37"/>
        <v>3949.8</v>
      </c>
      <c r="S774" s="15">
        <f t="shared" si="38"/>
        <v>4660.7640000000001</v>
      </c>
    </row>
    <row r="775" spans="1:19" x14ac:dyDescent="0.3">
      <c r="A775">
        <v>200010076</v>
      </c>
      <c r="B775">
        <v>273712658</v>
      </c>
      <c r="C775" s="11">
        <v>46223</v>
      </c>
      <c r="D775" s="1">
        <v>874044171400</v>
      </c>
      <c r="E775">
        <v>41474</v>
      </c>
      <c r="F775" t="s">
        <v>39</v>
      </c>
      <c r="G775" s="12">
        <v>8</v>
      </c>
      <c r="H775">
        <v>95</v>
      </c>
      <c r="I775">
        <v>22</v>
      </c>
      <c r="J775">
        <v>21</v>
      </c>
      <c r="K775" s="12">
        <v>8</v>
      </c>
      <c r="L775" t="s">
        <v>20</v>
      </c>
      <c r="M775" s="3">
        <v>3069.3</v>
      </c>
      <c r="N775" s="3">
        <v>528</v>
      </c>
      <c r="O775"/>
      <c r="P775" s="3">
        <v>1376</v>
      </c>
      <c r="Q775" s="13">
        <f t="shared" si="36"/>
        <v>0.3825091040502599</v>
      </c>
      <c r="R775" s="14">
        <f t="shared" si="37"/>
        <v>4973.3</v>
      </c>
      <c r="S775" s="15">
        <f t="shared" si="38"/>
        <v>5868.4939999999997</v>
      </c>
    </row>
    <row r="776" spans="1:19" x14ac:dyDescent="0.3">
      <c r="A776">
        <v>200010076</v>
      </c>
      <c r="B776">
        <v>273712658</v>
      </c>
      <c r="C776" s="11">
        <v>46223</v>
      </c>
      <c r="D776" s="1">
        <v>874044177030</v>
      </c>
      <c r="E776">
        <v>39993</v>
      </c>
      <c r="F776" t="s">
        <v>39</v>
      </c>
      <c r="G776" s="12">
        <v>2</v>
      </c>
      <c r="H776">
        <v>42</v>
      </c>
      <c r="I776">
        <v>17</v>
      </c>
      <c r="J776">
        <v>15</v>
      </c>
      <c r="K776" s="12">
        <v>2</v>
      </c>
      <c r="L776" t="s">
        <v>20</v>
      </c>
      <c r="M776" s="3">
        <v>1512.5</v>
      </c>
      <c r="N776" s="3">
        <v>132</v>
      </c>
      <c r="O776"/>
      <c r="P776" s="3">
        <v>629</v>
      </c>
      <c r="Q776" s="13">
        <f t="shared" si="36"/>
        <v>0.38248707813925203</v>
      </c>
      <c r="R776" s="14">
        <f t="shared" si="37"/>
        <v>2273.5</v>
      </c>
      <c r="S776" s="15">
        <f t="shared" si="38"/>
        <v>2682.73</v>
      </c>
    </row>
    <row r="777" spans="1:19" x14ac:dyDescent="0.3">
      <c r="A777">
        <v>200010076</v>
      </c>
      <c r="B777">
        <v>273712658</v>
      </c>
      <c r="C777" s="11">
        <v>46223</v>
      </c>
      <c r="D777" s="1">
        <v>874044179179</v>
      </c>
      <c r="E777">
        <v>41649</v>
      </c>
      <c r="F777" t="s">
        <v>39</v>
      </c>
      <c r="G777" s="12">
        <v>5.5</v>
      </c>
      <c r="H777">
        <v>58</v>
      </c>
      <c r="I777">
        <v>24</v>
      </c>
      <c r="J777">
        <v>23</v>
      </c>
      <c r="K777" s="12">
        <v>5.5</v>
      </c>
      <c r="L777" t="s">
        <v>20</v>
      </c>
      <c r="M777" s="3">
        <v>2494</v>
      </c>
      <c r="N777" s="3">
        <v>363</v>
      </c>
      <c r="O777"/>
      <c r="P777" s="3">
        <v>1092.8</v>
      </c>
      <c r="Q777" s="13">
        <f t="shared" si="36"/>
        <v>0.38249912495624777</v>
      </c>
      <c r="R777" s="14">
        <f t="shared" si="37"/>
        <v>3949.8</v>
      </c>
      <c r="S777" s="15">
        <f t="shared" si="38"/>
        <v>4660.7640000000001</v>
      </c>
    </row>
    <row r="778" spans="1:19" x14ac:dyDescent="0.3">
      <c r="A778">
        <v>200010076</v>
      </c>
      <c r="B778">
        <v>273712658</v>
      </c>
      <c r="C778" s="11">
        <v>46223</v>
      </c>
      <c r="D778" s="1">
        <v>874044184292</v>
      </c>
      <c r="E778">
        <v>40091</v>
      </c>
      <c r="F778" t="s">
        <v>39</v>
      </c>
      <c r="G778" s="12">
        <v>6</v>
      </c>
      <c r="H778">
        <v>56</v>
      </c>
      <c r="I778">
        <v>29</v>
      </c>
      <c r="J778">
        <v>28</v>
      </c>
      <c r="K778" s="12">
        <v>7.6</v>
      </c>
      <c r="L778" t="s">
        <v>20</v>
      </c>
      <c r="M778" s="3">
        <v>3069.3</v>
      </c>
      <c r="N778" s="3">
        <v>528</v>
      </c>
      <c r="O778"/>
      <c r="P778" s="3">
        <v>1376</v>
      </c>
      <c r="Q778" s="13">
        <f t="shared" si="36"/>
        <v>0.3825091040502599</v>
      </c>
      <c r="R778" s="14">
        <f t="shared" si="37"/>
        <v>4973.3</v>
      </c>
      <c r="S778" s="15">
        <f t="shared" si="38"/>
        <v>5868.4939999999997</v>
      </c>
    </row>
    <row r="779" spans="1:19" x14ac:dyDescent="0.3">
      <c r="A779">
        <v>200010076</v>
      </c>
      <c r="B779">
        <v>273712658</v>
      </c>
      <c r="C779" s="11">
        <v>46223</v>
      </c>
      <c r="D779" s="1">
        <v>874044185108</v>
      </c>
      <c r="E779">
        <v>39580</v>
      </c>
      <c r="F779" t="s">
        <v>39</v>
      </c>
      <c r="G779" s="12">
        <v>3</v>
      </c>
      <c r="H779">
        <v>66</v>
      </c>
      <c r="I779">
        <v>26</v>
      </c>
      <c r="J779">
        <v>24</v>
      </c>
      <c r="K779" s="12">
        <v>6.9</v>
      </c>
      <c r="L779" t="s">
        <v>20</v>
      </c>
      <c r="M779" s="3">
        <v>2839.2</v>
      </c>
      <c r="N779" s="3">
        <v>462</v>
      </c>
      <c r="O779"/>
      <c r="P779" s="3">
        <v>1262.7</v>
      </c>
      <c r="Q779" s="13">
        <f t="shared" si="36"/>
        <v>0.38249727371864778</v>
      </c>
      <c r="R779" s="14">
        <f t="shared" si="37"/>
        <v>4563.8999999999996</v>
      </c>
      <c r="S779" s="15">
        <f t="shared" si="38"/>
        <v>5385.4019999999991</v>
      </c>
    </row>
    <row r="780" spans="1:19" x14ac:dyDescent="0.3">
      <c r="A780">
        <v>200010076</v>
      </c>
      <c r="B780">
        <v>273712658</v>
      </c>
      <c r="C780" s="11">
        <v>46223</v>
      </c>
      <c r="D780" s="1">
        <v>874044186300</v>
      </c>
      <c r="E780">
        <v>41894</v>
      </c>
      <c r="F780" t="s">
        <v>39</v>
      </c>
      <c r="G780" s="12">
        <v>2</v>
      </c>
      <c r="H780">
        <v>50</v>
      </c>
      <c r="I780">
        <v>15</v>
      </c>
      <c r="J780">
        <v>14</v>
      </c>
      <c r="K780" s="12">
        <v>2</v>
      </c>
      <c r="L780" t="s">
        <v>20</v>
      </c>
      <c r="M780" s="3">
        <v>1512.5</v>
      </c>
      <c r="N780" s="3">
        <v>132</v>
      </c>
      <c r="O780"/>
      <c r="P780" s="3">
        <v>629</v>
      </c>
      <c r="Q780" s="13">
        <f t="shared" si="36"/>
        <v>0.38248707813925203</v>
      </c>
      <c r="R780" s="14">
        <f t="shared" si="37"/>
        <v>2273.5</v>
      </c>
      <c r="S780" s="15">
        <f t="shared" si="38"/>
        <v>2682.73</v>
      </c>
    </row>
    <row r="781" spans="1:19" x14ac:dyDescent="0.3">
      <c r="A781">
        <v>200010076</v>
      </c>
      <c r="B781">
        <v>273712658</v>
      </c>
      <c r="C781" s="11">
        <v>46223</v>
      </c>
      <c r="D781" s="1">
        <v>874044192029</v>
      </c>
      <c r="E781">
        <v>39815</v>
      </c>
      <c r="F781" t="s">
        <v>39</v>
      </c>
      <c r="G781" s="12">
        <v>8.5</v>
      </c>
      <c r="H781">
        <v>64</v>
      </c>
      <c r="I781">
        <v>28</v>
      </c>
      <c r="J781">
        <v>26</v>
      </c>
      <c r="K781" s="12">
        <v>8.5</v>
      </c>
      <c r="L781" t="s">
        <v>20</v>
      </c>
      <c r="M781" s="3">
        <v>3184.4</v>
      </c>
      <c r="N781" s="3">
        <v>561</v>
      </c>
      <c r="O781"/>
      <c r="P781" s="3">
        <v>1432.6</v>
      </c>
      <c r="Q781" s="13">
        <f t="shared" si="36"/>
        <v>0.38249586159021731</v>
      </c>
      <c r="R781" s="14">
        <f t="shared" si="37"/>
        <v>5178</v>
      </c>
      <c r="S781" s="15">
        <f t="shared" si="38"/>
        <v>6110.04</v>
      </c>
    </row>
    <row r="782" spans="1:19" x14ac:dyDescent="0.3">
      <c r="A782">
        <v>200010076</v>
      </c>
      <c r="B782">
        <v>273712658</v>
      </c>
      <c r="C782" s="11">
        <v>46223</v>
      </c>
      <c r="D782" s="1">
        <v>874044163136</v>
      </c>
      <c r="E782">
        <v>42235</v>
      </c>
      <c r="F782" t="s">
        <v>39</v>
      </c>
      <c r="G782" s="12">
        <v>0.5</v>
      </c>
      <c r="K782" s="12">
        <v>0</v>
      </c>
      <c r="L782" t="s">
        <v>20</v>
      </c>
      <c r="M782" s="3">
        <v>1031.7</v>
      </c>
      <c r="N782" s="3">
        <v>42.5</v>
      </c>
      <c r="O782"/>
      <c r="P782" s="3">
        <v>410.9</v>
      </c>
      <c r="Q782" s="13">
        <f t="shared" si="36"/>
        <v>0.38251722211878603</v>
      </c>
      <c r="R782" s="14">
        <f t="shared" si="37"/>
        <v>1485.1</v>
      </c>
      <c r="S782" s="15">
        <f t="shared" si="38"/>
        <v>1752.4179999999999</v>
      </c>
    </row>
    <row r="783" spans="1:19" x14ac:dyDescent="0.3">
      <c r="A783">
        <v>200010076</v>
      </c>
      <c r="B783">
        <v>273712658</v>
      </c>
      <c r="C783" s="11">
        <v>46223</v>
      </c>
      <c r="D783" s="1">
        <v>874044166032</v>
      </c>
      <c r="E783">
        <v>42203</v>
      </c>
      <c r="F783" t="s">
        <v>39</v>
      </c>
      <c r="G783" s="12">
        <v>0.5</v>
      </c>
      <c r="K783" s="12">
        <v>0</v>
      </c>
      <c r="L783" t="s">
        <v>20</v>
      </c>
      <c r="M783" s="3">
        <v>1031.7</v>
      </c>
      <c r="N783" s="3">
        <v>42.5</v>
      </c>
      <c r="O783"/>
      <c r="P783" s="3">
        <v>410.9</v>
      </c>
      <c r="Q783" s="13">
        <f t="shared" si="36"/>
        <v>0.38251722211878603</v>
      </c>
      <c r="R783" s="14">
        <f t="shared" si="37"/>
        <v>1485.1</v>
      </c>
      <c r="S783" s="15">
        <f t="shared" si="38"/>
        <v>1752.4179999999999</v>
      </c>
    </row>
    <row r="784" spans="1:19" x14ac:dyDescent="0.3">
      <c r="A784">
        <v>200010076</v>
      </c>
      <c r="B784">
        <v>273712658</v>
      </c>
      <c r="C784" s="11">
        <v>46223</v>
      </c>
      <c r="D784" s="1">
        <v>874044171833</v>
      </c>
      <c r="E784">
        <v>42320</v>
      </c>
      <c r="F784" t="s">
        <v>39</v>
      </c>
      <c r="G784" s="12">
        <v>0.5</v>
      </c>
      <c r="K784" s="12">
        <v>0</v>
      </c>
      <c r="L784" t="s">
        <v>20</v>
      </c>
      <c r="M784" s="3">
        <v>1031.7</v>
      </c>
      <c r="N784" s="3">
        <v>42.5</v>
      </c>
      <c r="O784"/>
      <c r="P784" s="3">
        <v>410.9</v>
      </c>
      <c r="Q784" s="13">
        <f t="shared" si="36"/>
        <v>0.38251722211878603</v>
      </c>
      <c r="R784" s="14">
        <f t="shared" si="37"/>
        <v>1485.1</v>
      </c>
      <c r="S784" s="15">
        <f t="shared" si="38"/>
        <v>1752.4179999999999</v>
      </c>
    </row>
    <row r="785" spans="1:19" x14ac:dyDescent="0.3">
      <c r="A785">
        <v>200010076</v>
      </c>
      <c r="B785">
        <v>273712658</v>
      </c>
      <c r="C785" s="11">
        <v>46223</v>
      </c>
      <c r="D785" s="1">
        <v>874044178562</v>
      </c>
      <c r="E785">
        <v>42293</v>
      </c>
      <c r="F785" t="s">
        <v>39</v>
      </c>
      <c r="G785" s="12">
        <v>0.5</v>
      </c>
      <c r="K785" s="12">
        <v>0</v>
      </c>
      <c r="L785" t="s">
        <v>20</v>
      </c>
      <c r="M785" s="3">
        <v>1031.7</v>
      </c>
      <c r="N785" s="3">
        <v>42.5</v>
      </c>
      <c r="O785"/>
      <c r="P785" s="3">
        <v>410.9</v>
      </c>
      <c r="Q785" s="13">
        <f t="shared" si="36"/>
        <v>0.38251722211878603</v>
      </c>
      <c r="R785" s="14">
        <f t="shared" si="37"/>
        <v>1485.1</v>
      </c>
      <c r="S785" s="15">
        <f t="shared" si="38"/>
        <v>1752.4179999999999</v>
      </c>
    </row>
    <row r="786" spans="1:19" x14ac:dyDescent="0.3">
      <c r="A786">
        <v>200010076</v>
      </c>
      <c r="B786">
        <v>273712658</v>
      </c>
      <c r="C786" s="11">
        <v>46223</v>
      </c>
      <c r="D786" s="1">
        <v>874044179260</v>
      </c>
      <c r="E786">
        <v>42094</v>
      </c>
      <c r="F786" t="s">
        <v>39</v>
      </c>
      <c r="G786" s="12">
        <v>0.5</v>
      </c>
      <c r="K786" s="12">
        <v>0</v>
      </c>
      <c r="L786" t="s">
        <v>20</v>
      </c>
      <c r="M786" s="3">
        <v>1031.7</v>
      </c>
      <c r="N786" s="3">
        <v>42.5</v>
      </c>
      <c r="O786"/>
      <c r="P786" s="3">
        <v>410.9</v>
      </c>
      <c r="Q786" s="13">
        <f t="shared" si="36"/>
        <v>0.38251722211878603</v>
      </c>
      <c r="R786" s="14">
        <f t="shared" si="37"/>
        <v>1485.1</v>
      </c>
      <c r="S786" s="15">
        <f t="shared" si="38"/>
        <v>1752.4179999999999</v>
      </c>
    </row>
    <row r="787" spans="1:19" x14ac:dyDescent="0.3">
      <c r="A787">
        <v>200010076</v>
      </c>
      <c r="B787">
        <v>273712658</v>
      </c>
      <c r="C787" s="11">
        <v>46223</v>
      </c>
      <c r="D787" s="1">
        <v>874044183686</v>
      </c>
      <c r="E787">
        <v>42281</v>
      </c>
      <c r="F787" t="s">
        <v>39</v>
      </c>
      <c r="G787" s="12">
        <v>0.5</v>
      </c>
      <c r="K787" s="12">
        <v>0</v>
      </c>
      <c r="L787" t="s">
        <v>20</v>
      </c>
      <c r="M787" s="3">
        <v>1031.7</v>
      </c>
      <c r="N787" s="3">
        <v>42.5</v>
      </c>
      <c r="O787"/>
      <c r="P787" s="3">
        <v>410.9</v>
      </c>
      <c r="Q787" s="13">
        <f t="shared" si="36"/>
        <v>0.38251722211878603</v>
      </c>
      <c r="R787" s="14">
        <f t="shared" si="37"/>
        <v>1485.1</v>
      </c>
      <c r="S787" s="15">
        <f t="shared" si="38"/>
        <v>1752.4179999999999</v>
      </c>
    </row>
    <row r="788" spans="1:19" x14ac:dyDescent="0.3">
      <c r="A788">
        <v>200010076</v>
      </c>
      <c r="B788">
        <v>273712658</v>
      </c>
      <c r="C788" s="11">
        <v>46223</v>
      </c>
      <c r="D788" s="1">
        <v>874044190791</v>
      </c>
      <c r="E788">
        <v>42231</v>
      </c>
      <c r="F788" t="s">
        <v>39</v>
      </c>
      <c r="G788" s="12">
        <v>0.5</v>
      </c>
      <c r="K788" s="12">
        <v>0</v>
      </c>
      <c r="L788" t="s">
        <v>20</v>
      </c>
      <c r="M788" s="3">
        <v>1031.7</v>
      </c>
      <c r="N788" s="3">
        <v>42.5</v>
      </c>
      <c r="O788"/>
      <c r="P788" s="3">
        <v>410.9</v>
      </c>
      <c r="Q788" s="13">
        <f t="shared" si="36"/>
        <v>0.38251722211878603</v>
      </c>
      <c r="R788" s="14">
        <f t="shared" si="37"/>
        <v>1485.1</v>
      </c>
      <c r="S788" s="15">
        <f t="shared" si="38"/>
        <v>1752.4179999999999</v>
      </c>
    </row>
    <row r="789" spans="1:19" x14ac:dyDescent="0.3">
      <c r="A789">
        <v>200010076</v>
      </c>
      <c r="B789">
        <v>273712658</v>
      </c>
      <c r="C789" s="11">
        <v>46223</v>
      </c>
      <c r="D789" s="1">
        <v>874110302204</v>
      </c>
      <c r="E789">
        <v>39933</v>
      </c>
      <c r="F789" t="s">
        <v>23</v>
      </c>
      <c r="G789" s="12">
        <v>9.75</v>
      </c>
      <c r="H789">
        <v>50</v>
      </c>
      <c r="I789">
        <v>37</v>
      </c>
      <c r="J789">
        <v>21</v>
      </c>
      <c r="K789" s="12">
        <v>9.8000000000000007</v>
      </c>
      <c r="L789" t="s">
        <v>20</v>
      </c>
      <c r="M789" s="3">
        <v>3529.5</v>
      </c>
      <c r="N789" s="3">
        <v>660</v>
      </c>
      <c r="O789"/>
      <c r="P789" s="3">
        <v>1602.5</v>
      </c>
      <c r="Q789" s="13">
        <f t="shared" si="36"/>
        <v>0.38250387874448027</v>
      </c>
      <c r="R789" s="14">
        <f t="shared" si="37"/>
        <v>5792</v>
      </c>
      <c r="S789" s="15">
        <f t="shared" si="38"/>
        <v>6834.5599999999995</v>
      </c>
    </row>
    <row r="790" spans="1:19" x14ac:dyDescent="0.3">
      <c r="A790">
        <v>200010076</v>
      </c>
      <c r="B790">
        <v>273712658</v>
      </c>
      <c r="C790" s="11">
        <v>46223</v>
      </c>
      <c r="D790" s="1">
        <v>874110305041</v>
      </c>
      <c r="E790">
        <v>41591</v>
      </c>
      <c r="F790" t="s">
        <v>23</v>
      </c>
      <c r="G790" s="12">
        <v>10</v>
      </c>
      <c r="H790">
        <v>59</v>
      </c>
      <c r="I790">
        <v>22</v>
      </c>
      <c r="J790">
        <v>21</v>
      </c>
      <c r="K790" s="12">
        <v>10</v>
      </c>
      <c r="L790" t="s">
        <v>20</v>
      </c>
      <c r="M790" s="3">
        <v>3529.5</v>
      </c>
      <c r="N790" s="3">
        <v>660</v>
      </c>
      <c r="O790"/>
      <c r="P790" s="3">
        <v>1602.5</v>
      </c>
      <c r="Q790" s="13">
        <f t="shared" si="36"/>
        <v>0.38250387874448027</v>
      </c>
      <c r="R790" s="14">
        <f t="shared" si="37"/>
        <v>5792</v>
      </c>
      <c r="S790" s="15">
        <f t="shared" si="38"/>
        <v>6834.5599999999995</v>
      </c>
    </row>
    <row r="791" spans="1:19" x14ac:dyDescent="0.3">
      <c r="A791">
        <v>200010076</v>
      </c>
      <c r="B791">
        <v>273712658</v>
      </c>
      <c r="C791" s="11">
        <v>46223</v>
      </c>
      <c r="D791" s="1">
        <v>874110305659</v>
      </c>
      <c r="E791">
        <v>41895</v>
      </c>
      <c r="F791" t="s">
        <v>23</v>
      </c>
      <c r="G791" s="12">
        <v>7</v>
      </c>
      <c r="H791">
        <v>54</v>
      </c>
      <c r="I791">
        <v>29</v>
      </c>
      <c r="J791">
        <v>26</v>
      </c>
      <c r="K791" s="12">
        <v>7</v>
      </c>
      <c r="L791" t="s">
        <v>20</v>
      </c>
      <c r="M791" s="3">
        <v>2839.2</v>
      </c>
      <c r="N791" s="3">
        <v>462</v>
      </c>
      <c r="O791"/>
      <c r="P791" s="3">
        <v>1262.7</v>
      </c>
      <c r="Q791" s="13">
        <f t="shared" si="36"/>
        <v>0.38249727371864778</v>
      </c>
      <c r="R791" s="14">
        <f t="shared" si="37"/>
        <v>4563.8999999999996</v>
      </c>
      <c r="S791" s="15">
        <f t="shared" si="38"/>
        <v>5385.4019999999991</v>
      </c>
    </row>
    <row r="792" spans="1:19" x14ac:dyDescent="0.3">
      <c r="A792">
        <v>200010076</v>
      </c>
      <c r="B792">
        <v>273712658</v>
      </c>
      <c r="C792" s="11">
        <v>46223</v>
      </c>
      <c r="D792" s="1">
        <v>874110305924</v>
      </c>
      <c r="E792">
        <v>37737</v>
      </c>
      <c r="F792" t="s">
        <v>23</v>
      </c>
      <c r="G792" s="12">
        <v>27</v>
      </c>
      <c r="H792">
        <v>77</v>
      </c>
      <c r="I792">
        <v>34</v>
      </c>
      <c r="J792">
        <v>32</v>
      </c>
      <c r="K792" s="12">
        <v>27</v>
      </c>
      <c r="L792" t="s">
        <v>20</v>
      </c>
      <c r="M792" s="3">
        <v>10665.4</v>
      </c>
      <c r="N792" s="3">
        <v>1782</v>
      </c>
      <c r="O792"/>
      <c r="P792" s="3">
        <v>4761.1000000000004</v>
      </c>
      <c r="Q792" s="13">
        <f t="shared" si="36"/>
        <v>0.38249754968909172</v>
      </c>
      <c r="R792" s="14">
        <f t="shared" si="37"/>
        <v>17208.5</v>
      </c>
      <c r="S792" s="15">
        <f t="shared" si="38"/>
        <v>20306.03</v>
      </c>
    </row>
    <row r="793" spans="1:19" x14ac:dyDescent="0.3">
      <c r="A793">
        <v>200010076</v>
      </c>
      <c r="B793">
        <v>273712658</v>
      </c>
      <c r="C793" s="11">
        <v>46223</v>
      </c>
      <c r="D793" s="1">
        <v>874110320041</v>
      </c>
      <c r="E793">
        <v>40455</v>
      </c>
      <c r="F793" t="s">
        <v>23</v>
      </c>
      <c r="G793" s="12">
        <v>32</v>
      </c>
      <c r="H793">
        <v>60</v>
      </c>
      <c r="I793">
        <v>31</v>
      </c>
      <c r="J793">
        <v>29</v>
      </c>
      <c r="K793" s="12">
        <v>32</v>
      </c>
      <c r="L793" t="s">
        <v>20</v>
      </c>
      <c r="M793" s="3">
        <v>12573.7</v>
      </c>
      <c r="N793" s="3">
        <v>2112</v>
      </c>
      <c r="O793"/>
      <c r="P793" s="3">
        <v>5617.3</v>
      </c>
      <c r="Q793" s="13">
        <f t="shared" si="36"/>
        <v>0.38250134484566617</v>
      </c>
      <c r="R793" s="14">
        <f t="shared" si="37"/>
        <v>20303</v>
      </c>
      <c r="S793" s="15">
        <f t="shared" si="38"/>
        <v>23957.539999999997</v>
      </c>
    </row>
    <row r="794" spans="1:19" x14ac:dyDescent="0.3">
      <c r="A794">
        <v>200010076</v>
      </c>
      <c r="B794">
        <v>273712658</v>
      </c>
      <c r="C794" s="11">
        <v>46223</v>
      </c>
      <c r="D794" s="1">
        <v>874110575710</v>
      </c>
      <c r="E794">
        <v>38724</v>
      </c>
      <c r="F794" t="s">
        <v>23</v>
      </c>
      <c r="G794" s="12">
        <v>4</v>
      </c>
      <c r="H794">
        <v>45</v>
      </c>
      <c r="I794">
        <v>24</v>
      </c>
      <c r="J794">
        <v>21</v>
      </c>
      <c r="K794" s="12">
        <v>4</v>
      </c>
      <c r="L794" t="s">
        <v>20</v>
      </c>
      <c r="M794" s="3">
        <v>1966.1</v>
      </c>
      <c r="N794" s="3">
        <v>264</v>
      </c>
      <c r="O794"/>
      <c r="P794" s="3">
        <v>853</v>
      </c>
      <c r="Q794" s="13">
        <f t="shared" si="36"/>
        <v>0.38249405856239632</v>
      </c>
      <c r="R794" s="14">
        <f t="shared" si="37"/>
        <v>3083.1</v>
      </c>
      <c r="S794" s="15">
        <f t="shared" si="38"/>
        <v>3638.0579999999995</v>
      </c>
    </row>
    <row r="795" spans="1:19" x14ac:dyDescent="0.3">
      <c r="A795">
        <v>200010076</v>
      </c>
      <c r="B795">
        <v>273712658</v>
      </c>
      <c r="C795" s="11">
        <v>46223</v>
      </c>
      <c r="D795" s="1">
        <v>874110583729</v>
      </c>
      <c r="E795">
        <v>40587</v>
      </c>
      <c r="F795" t="s">
        <v>23</v>
      </c>
      <c r="G795" s="12">
        <v>7.58</v>
      </c>
      <c r="H795">
        <v>57</v>
      </c>
      <c r="I795">
        <v>34</v>
      </c>
      <c r="J795">
        <v>21</v>
      </c>
      <c r="K795" s="12">
        <v>7.6</v>
      </c>
      <c r="L795" t="s">
        <v>20</v>
      </c>
      <c r="M795" s="3">
        <v>3069.3</v>
      </c>
      <c r="N795" s="3">
        <v>528</v>
      </c>
      <c r="O795"/>
      <c r="P795" s="3">
        <v>1376</v>
      </c>
      <c r="Q795" s="13">
        <f t="shared" si="36"/>
        <v>0.3825091040502599</v>
      </c>
      <c r="R795" s="14">
        <f t="shared" si="37"/>
        <v>4973.3</v>
      </c>
      <c r="S795" s="15">
        <f t="shared" si="38"/>
        <v>5868.4939999999997</v>
      </c>
    </row>
    <row r="796" spans="1:19" x14ac:dyDescent="0.3">
      <c r="A796">
        <v>200010076</v>
      </c>
      <c r="B796">
        <v>273712658</v>
      </c>
      <c r="C796" s="11">
        <v>46223</v>
      </c>
      <c r="D796" s="1">
        <v>874110593844</v>
      </c>
      <c r="E796">
        <v>40312</v>
      </c>
      <c r="F796" t="s">
        <v>23</v>
      </c>
      <c r="G796" s="12">
        <v>4.5</v>
      </c>
      <c r="H796">
        <v>53</v>
      </c>
      <c r="I796">
        <v>23</v>
      </c>
      <c r="J796">
        <v>21</v>
      </c>
      <c r="K796" s="12">
        <v>4.5</v>
      </c>
      <c r="L796" t="s">
        <v>20</v>
      </c>
      <c r="M796" s="3">
        <v>2098.9</v>
      </c>
      <c r="N796" s="3">
        <v>297</v>
      </c>
      <c r="O796"/>
      <c r="P796" s="3">
        <v>916.4</v>
      </c>
      <c r="Q796" s="13">
        <f t="shared" si="36"/>
        <v>0.3824867481948328</v>
      </c>
      <c r="R796" s="14">
        <f t="shared" si="37"/>
        <v>3312.3</v>
      </c>
      <c r="S796" s="15">
        <f t="shared" si="38"/>
        <v>3908.5140000000001</v>
      </c>
    </row>
    <row r="797" spans="1:19" x14ac:dyDescent="0.3">
      <c r="A797">
        <v>200010076</v>
      </c>
      <c r="B797">
        <v>273712658</v>
      </c>
      <c r="C797" s="11">
        <v>46223</v>
      </c>
      <c r="D797" s="1">
        <v>874110601673</v>
      </c>
      <c r="E797">
        <v>41852</v>
      </c>
      <c r="F797" t="s">
        <v>23</v>
      </c>
      <c r="G797" s="12">
        <v>18</v>
      </c>
      <c r="H797">
        <v>98</v>
      </c>
      <c r="I797">
        <v>25</v>
      </c>
      <c r="J797">
        <v>24</v>
      </c>
      <c r="K797" s="12">
        <v>18</v>
      </c>
      <c r="L797" t="s">
        <v>20</v>
      </c>
      <c r="M797" s="3">
        <v>7135.4</v>
      </c>
      <c r="N797" s="3">
        <v>1188</v>
      </c>
      <c r="O797"/>
      <c r="P797" s="3">
        <v>3183.7</v>
      </c>
      <c r="Q797" s="13">
        <f t="shared" si="36"/>
        <v>0.38249993992839465</v>
      </c>
      <c r="R797" s="14">
        <f t="shared" si="37"/>
        <v>11507.099999999999</v>
      </c>
      <c r="S797" s="15">
        <f t="shared" si="38"/>
        <v>13578.377999999997</v>
      </c>
    </row>
    <row r="798" spans="1:19" x14ac:dyDescent="0.3">
      <c r="A798">
        <v>200010076</v>
      </c>
      <c r="B798">
        <v>273712658</v>
      </c>
      <c r="C798" s="11">
        <v>46223</v>
      </c>
      <c r="D798" s="1">
        <v>874110611733</v>
      </c>
      <c r="E798">
        <v>41347</v>
      </c>
      <c r="F798" t="s">
        <v>23</v>
      </c>
      <c r="G798" s="12">
        <v>8</v>
      </c>
      <c r="H798">
        <v>47</v>
      </c>
      <c r="I798">
        <v>32</v>
      </c>
      <c r="J798">
        <v>29</v>
      </c>
      <c r="K798" s="12">
        <v>8</v>
      </c>
      <c r="L798" t="s">
        <v>20</v>
      </c>
      <c r="M798" s="3">
        <v>3069.3</v>
      </c>
      <c r="N798" s="3">
        <v>528</v>
      </c>
      <c r="O798"/>
      <c r="P798" s="3">
        <v>1376</v>
      </c>
      <c r="Q798" s="13">
        <f t="shared" si="36"/>
        <v>0.3825091040502599</v>
      </c>
      <c r="R798" s="14">
        <f t="shared" si="37"/>
        <v>4973.3</v>
      </c>
      <c r="S798" s="15">
        <f t="shared" si="38"/>
        <v>5868.4939999999997</v>
      </c>
    </row>
    <row r="799" spans="1:19" x14ac:dyDescent="0.3">
      <c r="A799">
        <v>200010076</v>
      </c>
      <c r="B799">
        <v>273712658</v>
      </c>
      <c r="C799" s="11">
        <v>46223</v>
      </c>
      <c r="D799" s="1">
        <v>874110622947</v>
      </c>
      <c r="E799">
        <v>40792</v>
      </c>
      <c r="F799" t="s">
        <v>23</v>
      </c>
      <c r="G799" s="12">
        <v>9</v>
      </c>
      <c r="H799">
        <v>71</v>
      </c>
      <c r="I799">
        <v>28</v>
      </c>
      <c r="J799">
        <v>26</v>
      </c>
      <c r="K799" s="12">
        <v>9</v>
      </c>
      <c r="L799" t="s">
        <v>20</v>
      </c>
      <c r="M799" s="3">
        <v>3299.4</v>
      </c>
      <c r="N799" s="3">
        <v>594</v>
      </c>
      <c r="O799"/>
      <c r="P799" s="3">
        <v>1489.2</v>
      </c>
      <c r="Q799" s="13">
        <f t="shared" si="36"/>
        <v>0.38249345045461552</v>
      </c>
      <c r="R799" s="14">
        <f t="shared" si="37"/>
        <v>5382.6</v>
      </c>
      <c r="S799" s="15">
        <f t="shared" si="38"/>
        <v>6351.4679999999998</v>
      </c>
    </row>
    <row r="800" spans="1:19" x14ac:dyDescent="0.3">
      <c r="A800">
        <v>200010076</v>
      </c>
      <c r="B800">
        <v>273712658</v>
      </c>
      <c r="C800" s="11">
        <v>46223</v>
      </c>
      <c r="D800" s="1">
        <v>874110624078</v>
      </c>
      <c r="E800">
        <v>40145</v>
      </c>
      <c r="F800" t="s">
        <v>23</v>
      </c>
      <c r="G800" s="12">
        <v>6</v>
      </c>
      <c r="H800">
        <v>58</v>
      </c>
      <c r="I800">
        <v>24</v>
      </c>
      <c r="J800">
        <v>24</v>
      </c>
      <c r="K800" s="12">
        <v>6</v>
      </c>
      <c r="L800" t="s">
        <v>20</v>
      </c>
      <c r="M800" s="3">
        <v>2609.1</v>
      </c>
      <c r="N800" s="3">
        <v>396</v>
      </c>
      <c r="O800"/>
      <c r="P800" s="3">
        <v>1149.5</v>
      </c>
      <c r="Q800" s="13">
        <f t="shared" si="36"/>
        <v>0.38251638880569699</v>
      </c>
      <c r="R800" s="14">
        <f t="shared" si="37"/>
        <v>4154.6000000000004</v>
      </c>
      <c r="S800" s="15">
        <f t="shared" si="38"/>
        <v>4902.4279999999999</v>
      </c>
    </row>
    <row r="801" spans="1:19" x14ac:dyDescent="0.3">
      <c r="A801">
        <v>200010076</v>
      </c>
      <c r="B801">
        <v>273712658</v>
      </c>
      <c r="C801" s="11">
        <v>46223</v>
      </c>
      <c r="D801" s="1">
        <v>874110632320</v>
      </c>
      <c r="E801">
        <v>40735</v>
      </c>
      <c r="F801" t="s">
        <v>23</v>
      </c>
      <c r="G801" s="12">
        <v>4</v>
      </c>
      <c r="H801">
        <v>51</v>
      </c>
      <c r="I801">
        <v>21</v>
      </c>
      <c r="J801">
        <v>20</v>
      </c>
      <c r="K801" s="12">
        <v>4</v>
      </c>
      <c r="L801" t="s">
        <v>20</v>
      </c>
      <c r="M801" s="3">
        <v>1966.1</v>
      </c>
      <c r="N801" s="3">
        <v>264</v>
      </c>
      <c r="O801"/>
      <c r="P801" s="3">
        <v>853</v>
      </c>
      <c r="Q801" s="13">
        <f t="shared" si="36"/>
        <v>0.38249405856239632</v>
      </c>
      <c r="R801" s="14">
        <f t="shared" si="37"/>
        <v>3083.1</v>
      </c>
      <c r="S801" s="15">
        <f t="shared" si="38"/>
        <v>3638.0579999999995</v>
      </c>
    </row>
    <row r="802" spans="1:19" x14ac:dyDescent="0.3">
      <c r="A802">
        <v>200010076</v>
      </c>
      <c r="B802">
        <v>273712658</v>
      </c>
      <c r="C802" s="11">
        <v>46223</v>
      </c>
      <c r="D802" s="1">
        <v>874110632867</v>
      </c>
      <c r="E802">
        <v>4096790187</v>
      </c>
      <c r="F802" t="s">
        <v>23</v>
      </c>
      <c r="G802" s="12">
        <v>4.5</v>
      </c>
      <c r="H802">
        <v>46</v>
      </c>
      <c r="I802">
        <v>24</v>
      </c>
      <c r="J802">
        <v>23</v>
      </c>
      <c r="K802" s="12">
        <v>4.5</v>
      </c>
      <c r="L802" t="s">
        <v>20</v>
      </c>
      <c r="M802" s="3">
        <v>2098.9</v>
      </c>
      <c r="N802" s="3">
        <v>297</v>
      </c>
      <c r="O802"/>
      <c r="P802" s="3">
        <v>916.4</v>
      </c>
      <c r="Q802" s="13">
        <f t="shared" si="36"/>
        <v>0.3824867481948328</v>
      </c>
      <c r="R802" s="14">
        <f t="shared" si="37"/>
        <v>3312.3</v>
      </c>
      <c r="S802" s="15">
        <f t="shared" si="38"/>
        <v>3908.5140000000001</v>
      </c>
    </row>
    <row r="803" spans="1:19" x14ac:dyDescent="0.3">
      <c r="A803">
        <v>200010076</v>
      </c>
      <c r="B803">
        <v>273712658</v>
      </c>
      <c r="C803" s="11">
        <v>46223</v>
      </c>
      <c r="D803" s="1">
        <v>874110633430</v>
      </c>
      <c r="E803">
        <v>39319</v>
      </c>
      <c r="F803" t="s">
        <v>23</v>
      </c>
      <c r="G803" s="12">
        <v>8</v>
      </c>
      <c r="H803">
        <v>62</v>
      </c>
      <c r="I803">
        <v>27</v>
      </c>
      <c r="J803">
        <v>27</v>
      </c>
      <c r="K803" s="12">
        <v>8</v>
      </c>
      <c r="L803" t="s">
        <v>20</v>
      </c>
      <c r="M803" s="3">
        <v>3069.3</v>
      </c>
      <c r="N803" s="3">
        <v>528</v>
      </c>
      <c r="O803"/>
      <c r="P803" s="3">
        <v>1376</v>
      </c>
      <c r="Q803" s="13">
        <f t="shared" si="36"/>
        <v>0.3825091040502599</v>
      </c>
      <c r="R803" s="14">
        <f t="shared" si="37"/>
        <v>4973.3</v>
      </c>
      <c r="S803" s="15">
        <f t="shared" si="38"/>
        <v>5868.4939999999997</v>
      </c>
    </row>
    <row r="804" spans="1:19" x14ac:dyDescent="0.3">
      <c r="A804">
        <v>200010076</v>
      </c>
      <c r="B804">
        <v>273712658</v>
      </c>
      <c r="C804" s="11">
        <v>46223</v>
      </c>
      <c r="D804" s="1">
        <v>874110633830</v>
      </c>
      <c r="E804">
        <v>40860</v>
      </c>
      <c r="F804" t="s">
        <v>23</v>
      </c>
      <c r="G804" s="12">
        <v>5.5</v>
      </c>
      <c r="H804">
        <v>46</v>
      </c>
      <c r="I804">
        <v>26</v>
      </c>
      <c r="J804">
        <v>25</v>
      </c>
      <c r="K804" s="12">
        <v>5.5</v>
      </c>
      <c r="L804" t="s">
        <v>20</v>
      </c>
      <c r="M804" s="3">
        <v>2494</v>
      </c>
      <c r="N804" s="3">
        <v>363</v>
      </c>
      <c r="O804"/>
      <c r="P804" s="3">
        <v>1092.8</v>
      </c>
      <c r="Q804" s="13">
        <f t="shared" si="36"/>
        <v>0.38249912495624777</v>
      </c>
      <c r="R804" s="14">
        <f t="shared" si="37"/>
        <v>3949.8</v>
      </c>
      <c r="S804" s="15">
        <f t="shared" si="38"/>
        <v>4660.7640000000001</v>
      </c>
    </row>
    <row r="805" spans="1:19" x14ac:dyDescent="0.3">
      <c r="A805">
        <v>200010076</v>
      </c>
      <c r="B805">
        <v>273712658</v>
      </c>
      <c r="C805" s="11">
        <v>46223</v>
      </c>
      <c r="D805" s="1">
        <v>874110637365</v>
      </c>
      <c r="E805">
        <v>4086206848</v>
      </c>
      <c r="F805" t="s">
        <v>23</v>
      </c>
      <c r="G805" s="12">
        <v>6.5</v>
      </c>
      <c r="H805">
        <v>53</v>
      </c>
      <c r="I805">
        <v>27</v>
      </c>
      <c r="J805">
        <v>27</v>
      </c>
      <c r="K805" s="12">
        <v>6.5</v>
      </c>
      <c r="L805" t="s">
        <v>20</v>
      </c>
      <c r="M805" s="3">
        <v>2724.1</v>
      </c>
      <c r="N805" s="3">
        <v>429</v>
      </c>
      <c r="O805"/>
      <c r="P805" s="3">
        <v>1206.0999999999999</v>
      </c>
      <c r="Q805" s="13">
        <f t="shared" si="36"/>
        <v>0.3825124480669817</v>
      </c>
      <c r="R805" s="14">
        <f t="shared" si="37"/>
        <v>4359.2</v>
      </c>
      <c r="S805" s="15">
        <f t="shared" si="38"/>
        <v>5143.8559999999998</v>
      </c>
    </row>
    <row r="806" spans="1:19" x14ac:dyDescent="0.3">
      <c r="A806">
        <v>200010076</v>
      </c>
      <c r="B806">
        <v>273712658</v>
      </c>
      <c r="C806" s="11">
        <v>46223</v>
      </c>
      <c r="D806" s="1">
        <v>874110653464</v>
      </c>
      <c r="E806">
        <v>40420</v>
      </c>
      <c r="F806" t="s">
        <v>23</v>
      </c>
      <c r="G806" s="12">
        <v>4</v>
      </c>
      <c r="H806">
        <v>55</v>
      </c>
      <c r="I806">
        <v>21</v>
      </c>
      <c r="J806">
        <v>19</v>
      </c>
      <c r="K806" s="12">
        <v>4</v>
      </c>
      <c r="L806" t="s">
        <v>20</v>
      </c>
      <c r="M806" s="3">
        <v>1966.1</v>
      </c>
      <c r="N806" s="3">
        <v>264</v>
      </c>
      <c r="O806"/>
      <c r="P806" s="3">
        <v>853</v>
      </c>
      <c r="Q806" s="13">
        <f t="shared" si="36"/>
        <v>0.38249405856239632</v>
      </c>
      <c r="R806" s="14">
        <f t="shared" si="37"/>
        <v>3083.1</v>
      </c>
      <c r="S806" s="15">
        <f t="shared" si="38"/>
        <v>3638.0579999999995</v>
      </c>
    </row>
    <row r="807" spans="1:19" x14ac:dyDescent="0.3">
      <c r="A807">
        <v>200010076</v>
      </c>
      <c r="B807">
        <v>273712658</v>
      </c>
      <c r="C807" s="11">
        <v>46223</v>
      </c>
      <c r="D807" s="1">
        <v>874110673558</v>
      </c>
      <c r="E807">
        <v>41234</v>
      </c>
      <c r="F807" t="s">
        <v>23</v>
      </c>
      <c r="G807" s="12">
        <v>2.5</v>
      </c>
      <c r="H807">
        <v>71</v>
      </c>
      <c r="I807">
        <v>14</v>
      </c>
      <c r="J807">
        <v>14</v>
      </c>
      <c r="K807" s="12">
        <v>2.5</v>
      </c>
      <c r="L807" t="s">
        <v>20</v>
      </c>
      <c r="M807" s="3">
        <v>1671.3</v>
      </c>
      <c r="N807" s="3">
        <v>165</v>
      </c>
      <c r="O807"/>
      <c r="P807" s="3">
        <v>702.4</v>
      </c>
      <c r="Q807" s="13">
        <f t="shared" si="36"/>
        <v>0.38250830474323366</v>
      </c>
      <c r="R807" s="14">
        <f t="shared" si="37"/>
        <v>2538.6999999999998</v>
      </c>
      <c r="S807" s="15">
        <f t="shared" si="38"/>
        <v>2995.6659999999997</v>
      </c>
    </row>
    <row r="808" spans="1:19" x14ac:dyDescent="0.3">
      <c r="A808">
        <v>200010076</v>
      </c>
      <c r="B808">
        <v>273712658</v>
      </c>
      <c r="C808" s="11">
        <v>46223</v>
      </c>
      <c r="D808" s="1">
        <v>874110677520</v>
      </c>
      <c r="E808">
        <v>41062</v>
      </c>
      <c r="F808" t="s">
        <v>23</v>
      </c>
      <c r="G808" s="12">
        <v>4</v>
      </c>
      <c r="H808">
        <v>60</v>
      </c>
      <c r="I808">
        <v>19</v>
      </c>
      <c r="J808">
        <v>19</v>
      </c>
      <c r="K808" s="12">
        <v>4</v>
      </c>
      <c r="L808" t="s">
        <v>20</v>
      </c>
      <c r="M808" s="3">
        <v>1966.1</v>
      </c>
      <c r="N808" s="3">
        <v>264</v>
      </c>
      <c r="O808"/>
      <c r="P808" s="3">
        <v>853</v>
      </c>
      <c r="Q808" s="13">
        <f t="shared" si="36"/>
        <v>0.38249405856239632</v>
      </c>
      <c r="R808" s="14">
        <f t="shared" si="37"/>
        <v>3083.1</v>
      </c>
      <c r="S808" s="15">
        <f t="shared" si="38"/>
        <v>3638.0579999999995</v>
      </c>
    </row>
    <row r="809" spans="1:19" x14ac:dyDescent="0.3">
      <c r="A809">
        <v>200010076</v>
      </c>
      <c r="B809">
        <v>273712658</v>
      </c>
      <c r="C809" s="11">
        <v>46223</v>
      </c>
      <c r="D809" s="1">
        <v>874110681523</v>
      </c>
      <c r="E809">
        <v>39728</v>
      </c>
      <c r="F809" t="s">
        <v>23</v>
      </c>
      <c r="G809" s="12">
        <v>4</v>
      </c>
      <c r="H809">
        <v>55</v>
      </c>
      <c r="I809">
        <v>21</v>
      </c>
      <c r="J809">
        <v>19</v>
      </c>
      <c r="K809" s="12">
        <v>4</v>
      </c>
      <c r="L809" t="s">
        <v>20</v>
      </c>
      <c r="M809" s="3">
        <v>1966.1</v>
      </c>
      <c r="N809" s="3">
        <v>264</v>
      </c>
      <c r="O809"/>
      <c r="P809" s="3">
        <v>853</v>
      </c>
      <c r="Q809" s="13">
        <f t="shared" si="36"/>
        <v>0.38249405856239632</v>
      </c>
      <c r="R809" s="14">
        <f t="shared" si="37"/>
        <v>3083.1</v>
      </c>
      <c r="S809" s="15">
        <f t="shared" si="38"/>
        <v>3638.0579999999995</v>
      </c>
    </row>
    <row r="810" spans="1:19" x14ac:dyDescent="0.3">
      <c r="A810">
        <v>200010076</v>
      </c>
      <c r="B810">
        <v>273712658</v>
      </c>
      <c r="C810" s="11">
        <v>46223</v>
      </c>
      <c r="D810" s="1">
        <v>874110697349</v>
      </c>
      <c r="E810">
        <v>41388</v>
      </c>
      <c r="F810" t="s">
        <v>23</v>
      </c>
      <c r="G810" s="12">
        <v>7</v>
      </c>
      <c r="H810">
        <v>80</v>
      </c>
      <c r="I810">
        <v>23</v>
      </c>
      <c r="J810">
        <v>22</v>
      </c>
      <c r="K810" s="12">
        <v>7</v>
      </c>
      <c r="L810" t="s">
        <v>20</v>
      </c>
      <c r="M810" s="3">
        <v>2839.2</v>
      </c>
      <c r="N810" s="3">
        <v>462</v>
      </c>
      <c r="O810"/>
      <c r="P810" s="3">
        <v>1262.7</v>
      </c>
      <c r="Q810" s="13">
        <f t="shared" si="36"/>
        <v>0.38249727371864778</v>
      </c>
      <c r="R810" s="14">
        <f t="shared" si="37"/>
        <v>4563.8999999999996</v>
      </c>
      <c r="S810" s="15">
        <f t="shared" si="38"/>
        <v>5385.4019999999991</v>
      </c>
    </row>
    <row r="811" spans="1:19" x14ac:dyDescent="0.3">
      <c r="A811">
        <v>200010076</v>
      </c>
      <c r="B811">
        <v>273712658</v>
      </c>
      <c r="C811" s="11">
        <v>46223</v>
      </c>
      <c r="D811" s="1">
        <v>874110700783</v>
      </c>
      <c r="E811">
        <v>41738</v>
      </c>
      <c r="F811" t="s">
        <v>23</v>
      </c>
      <c r="G811" s="12">
        <v>5</v>
      </c>
      <c r="H811">
        <v>55</v>
      </c>
      <c r="I811">
        <v>23</v>
      </c>
      <c r="J811">
        <v>21</v>
      </c>
      <c r="K811" s="12">
        <v>5</v>
      </c>
      <c r="L811" t="s">
        <v>20</v>
      </c>
      <c r="M811" s="3">
        <v>2231.6999999999998</v>
      </c>
      <c r="N811" s="3">
        <v>330</v>
      </c>
      <c r="O811"/>
      <c r="P811" s="3">
        <v>979.9</v>
      </c>
      <c r="Q811" s="13">
        <f t="shared" si="36"/>
        <v>0.3825194206971933</v>
      </c>
      <c r="R811" s="14">
        <f t="shared" si="37"/>
        <v>3541.6</v>
      </c>
      <c r="S811" s="15">
        <f t="shared" si="38"/>
        <v>4179.0879999999997</v>
      </c>
    </row>
    <row r="812" spans="1:19" x14ac:dyDescent="0.3">
      <c r="A812">
        <v>200010076</v>
      </c>
      <c r="B812">
        <v>273712658</v>
      </c>
      <c r="C812" s="11">
        <v>46223</v>
      </c>
      <c r="D812" s="1">
        <v>874110701117</v>
      </c>
      <c r="E812">
        <v>40885</v>
      </c>
      <c r="F812" t="s">
        <v>23</v>
      </c>
      <c r="G812" s="12">
        <v>5.76</v>
      </c>
      <c r="H812">
        <v>39</v>
      </c>
      <c r="I812">
        <v>35</v>
      </c>
      <c r="J812">
        <v>27</v>
      </c>
      <c r="K812" s="12">
        <v>6.1</v>
      </c>
      <c r="L812" t="s">
        <v>20</v>
      </c>
      <c r="M812" s="3">
        <v>2724.1</v>
      </c>
      <c r="N812" s="3">
        <v>429</v>
      </c>
      <c r="O812"/>
      <c r="P812" s="3">
        <v>1206.0999999999999</v>
      </c>
      <c r="Q812" s="13">
        <f t="shared" ref="Q812:Q875" si="39">+P812/SUM(M812:O812)</f>
        <v>0.3825124480669817</v>
      </c>
      <c r="R812" s="14">
        <f t="shared" ref="R812:R875" si="40">SUM(M812:P812)</f>
        <v>4359.2</v>
      </c>
      <c r="S812" s="15">
        <f t="shared" ref="S812:S875" si="41">+R812*1.18</f>
        <v>5143.8559999999998</v>
      </c>
    </row>
    <row r="813" spans="1:19" x14ac:dyDescent="0.3">
      <c r="A813">
        <v>200010076</v>
      </c>
      <c r="B813">
        <v>273712658</v>
      </c>
      <c r="C813" s="11">
        <v>46223</v>
      </c>
      <c r="D813" s="1">
        <v>874110704296</v>
      </c>
      <c r="E813">
        <v>39646</v>
      </c>
      <c r="F813" t="s">
        <v>23</v>
      </c>
      <c r="G813" s="12">
        <v>2.5</v>
      </c>
      <c r="H813">
        <v>49</v>
      </c>
      <c r="I813">
        <v>15</v>
      </c>
      <c r="J813">
        <v>14</v>
      </c>
      <c r="K813" s="12">
        <v>2.5</v>
      </c>
      <c r="L813" t="s">
        <v>20</v>
      </c>
      <c r="M813" s="3">
        <v>1671.3</v>
      </c>
      <c r="N813" s="3">
        <v>165</v>
      </c>
      <c r="O813"/>
      <c r="P813" s="3">
        <v>702.4</v>
      </c>
      <c r="Q813" s="13">
        <f t="shared" si="39"/>
        <v>0.38250830474323366</v>
      </c>
      <c r="R813" s="14">
        <f t="shared" si="40"/>
        <v>2538.6999999999998</v>
      </c>
      <c r="S813" s="15">
        <f t="shared" si="41"/>
        <v>2995.6659999999997</v>
      </c>
    </row>
    <row r="814" spans="1:19" x14ac:dyDescent="0.3">
      <c r="A814">
        <v>200010076</v>
      </c>
      <c r="B814">
        <v>273712658</v>
      </c>
      <c r="C814" s="11">
        <v>46223</v>
      </c>
      <c r="D814" s="1">
        <v>874110708729</v>
      </c>
      <c r="E814">
        <v>40408</v>
      </c>
      <c r="F814" t="s">
        <v>23</v>
      </c>
      <c r="G814" s="12">
        <v>5</v>
      </c>
      <c r="H814">
        <v>67</v>
      </c>
      <c r="I814">
        <v>21</v>
      </c>
      <c r="J814">
        <v>19</v>
      </c>
      <c r="K814" s="12">
        <v>5</v>
      </c>
      <c r="L814" t="s">
        <v>20</v>
      </c>
      <c r="M814" s="3">
        <v>2231.6999999999998</v>
      </c>
      <c r="N814" s="3">
        <v>330</v>
      </c>
      <c r="O814"/>
      <c r="P814" s="3">
        <v>979.9</v>
      </c>
      <c r="Q814" s="13">
        <f t="shared" si="39"/>
        <v>0.3825194206971933</v>
      </c>
      <c r="R814" s="14">
        <f t="shared" si="40"/>
        <v>3541.6</v>
      </c>
      <c r="S814" s="15">
        <f t="shared" si="41"/>
        <v>4179.0879999999997</v>
      </c>
    </row>
    <row r="815" spans="1:19" x14ac:dyDescent="0.3">
      <c r="A815">
        <v>200010076</v>
      </c>
      <c r="B815">
        <v>273712658</v>
      </c>
      <c r="C815" s="11">
        <v>46223</v>
      </c>
      <c r="D815" s="1">
        <v>874110709405</v>
      </c>
      <c r="E815">
        <v>41803</v>
      </c>
      <c r="F815" t="s">
        <v>23</v>
      </c>
      <c r="G815" s="12">
        <v>6.5</v>
      </c>
      <c r="H815">
        <v>58</v>
      </c>
      <c r="I815">
        <v>26</v>
      </c>
      <c r="J815">
        <v>24</v>
      </c>
      <c r="K815" s="12">
        <v>6.5</v>
      </c>
      <c r="L815" t="s">
        <v>20</v>
      </c>
      <c r="M815" s="3">
        <v>2724.1</v>
      </c>
      <c r="N815" s="3">
        <v>429</v>
      </c>
      <c r="O815"/>
      <c r="P815" s="3">
        <v>1206.0999999999999</v>
      </c>
      <c r="Q815" s="13">
        <f t="shared" si="39"/>
        <v>0.3825124480669817</v>
      </c>
      <c r="R815" s="14">
        <f t="shared" si="40"/>
        <v>4359.2</v>
      </c>
      <c r="S815" s="15">
        <f t="shared" si="41"/>
        <v>5143.8559999999998</v>
      </c>
    </row>
    <row r="816" spans="1:19" x14ac:dyDescent="0.3">
      <c r="A816">
        <v>200010076</v>
      </c>
      <c r="B816">
        <v>273712658</v>
      </c>
      <c r="C816" s="11">
        <v>46223</v>
      </c>
      <c r="D816" s="1">
        <v>874110713408</v>
      </c>
      <c r="E816">
        <v>42005</v>
      </c>
      <c r="F816" t="s">
        <v>23</v>
      </c>
      <c r="G816" s="12">
        <v>8.5</v>
      </c>
      <c r="H816">
        <v>62</v>
      </c>
      <c r="I816">
        <v>29</v>
      </c>
      <c r="J816">
        <v>27</v>
      </c>
      <c r="K816" s="12">
        <v>8.5</v>
      </c>
      <c r="L816" t="s">
        <v>20</v>
      </c>
      <c r="M816" s="3">
        <v>3184.4</v>
      </c>
      <c r="N816" s="3">
        <v>561</v>
      </c>
      <c r="O816"/>
      <c r="P816" s="3">
        <v>1432.6</v>
      </c>
      <c r="Q816" s="13">
        <f t="shared" si="39"/>
        <v>0.38249586159021731</v>
      </c>
      <c r="R816" s="14">
        <f t="shared" si="40"/>
        <v>5178</v>
      </c>
      <c r="S816" s="15">
        <f t="shared" si="41"/>
        <v>6110.04</v>
      </c>
    </row>
    <row r="817" spans="1:19" x14ac:dyDescent="0.3">
      <c r="A817">
        <v>200010076</v>
      </c>
      <c r="B817">
        <v>273712658</v>
      </c>
      <c r="C817" s="11">
        <v>46223</v>
      </c>
      <c r="D817" s="1">
        <v>874110720373</v>
      </c>
      <c r="E817">
        <v>41172</v>
      </c>
      <c r="F817" t="s">
        <v>23</v>
      </c>
      <c r="G817" s="12">
        <v>10.5</v>
      </c>
      <c r="H817">
        <v>65</v>
      </c>
      <c r="I817">
        <v>31</v>
      </c>
      <c r="J817">
        <v>30</v>
      </c>
      <c r="K817" s="12">
        <v>10.5</v>
      </c>
      <c r="L817" t="s">
        <v>20</v>
      </c>
      <c r="M817" s="3">
        <v>4575.1000000000004</v>
      </c>
      <c r="N817" s="3">
        <v>693</v>
      </c>
      <c r="O817"/>
      <c r="P817" s="3">
        <v>2015.1</v>
      </c>
      <c r="Q817" s="13">
        <f t="shared" si="39"/>
        <v>0.38250982327594385</v>
      </c>
      <c r="R817" s="14">
        <f t="shared" si="40"/>
        <v>7283.2000000000007</v>
      </c>
      <c r="S817" s="15">
        <f t="shared" si="41"/>
        <v>8594.1760000000013</v>
      </c>
    </row>
    <row r="818" spans="1:19" x14ac:dyDescent="0.3">
      <c r="A818">
        <v>200010076</v>
      </c>
      <c r="B818">
        <v>273712658</v>
      </c>
      <c r="C818" s="11">
        <v>46223</v>
      </c>
      <c r="D818" s="1">
        <v>874110721895</v>
      </c>
      <c r="E818">
        <v>40215</v>
      </c>
      <c r="F818" t="s">
        <v>23</v>
      </c>
      <c r="G818" s="12">
        <v>3.5</v>
      </c>
      <c r="H818">
        <v>41</v>
      </c>
      <c r="I818">
        <v>21</v>
      </c>
      <c r="J818">
        <v>21</v>
      </c>
      <c r="K818" s="12">
        <v>3.5</v>
      </c>
      <c r="L818" t="s">
        <v>20</v>
      </c>
      <c r="M818" s="3">
        <v>1833.3</v>
      </c>
      <c r="N818" s="3">
        <v>231</v>
      </c>
      <c r="O818"/>
      <c r="P818" s="3">
        <v>789.6</v>
      </c>
      <c r="Q818" s="13">
        <f t="shared" si="39"/>
        <v>0.38250254323499489</v>
      </c>
      <c r="R818" s="14">
        <f t="shared" si="40"/>
        <v>2853.9</v>
      </c>
      <c r="S818" s="15">
        <f t="shared" si="41"/>
        <v>3367.6019999999999</v>
      </c>
    </row>
    <row r="819" spans="1:19" x14ac:dyDescent="0.3">
      <c r="A819">
        <v>200010076</v>
      </c>
      <c r="B819">
        <v>273712658</v>
      </c>
      <c r="C819" s="11">
        <v>46223</v>
      </c>
      <c r="D819" s="1">
        <v>874110728021</v>
      </c>
      <c r="E819">
        <v>39880</v>
      </c>
      <c r="F819" t="s">
        <v>23</v>
      </c>
      <c r="G819" s="12">
        <v>9.5</v>
      </c>
      <c r="H819">
        <v>73</v>
      </c>
      <c r="I819">
        <v>27</v>
      </c>
      <c r="J819">
        <v>27</v>
      </c>
      <c r="K819" s="12">
        <v>9.5</v>
      </c>
      <c r="L819" t="s">
        <v>20</v>
      </c>
      <c r="M819" s="3">
        <v>3414.5</v>
      </c>
      <c r="N819" s="3">
        <v>627</v>
      </c>
      <c r="O819"/>
      <c r="P819" s="3">
        <v>1545.9</v>
      </c>
      <c r="Q819" s="13">
        <f t="shared" si="39"/>
        <v>0.38250649511320056</v>
      </c>
      <c r="R819" s="14">
        <f t="shared" si="40"/>
        <v>5587.4</v>
      </c>
      <c r="S819" s="15">
        <f t="shared" si="41"/>
        <v>6593.1319999999996</v>
      </c>
    </row>
    <row r="820" spans="1:19" x14ac:dyDescent="0.3">
      <c r="A820">
        <v>200010076</v>
      </c>
      <c r="B820">
        <v>273712658</v>
      </c>
      <c r="C820" s="11">
        <v>46223</v>
      </c>
      <c r="D820" s="1">
        <v>874110728065</v>
      </c>
      <c r="E820">
        <v>40577</v>
      </c>
      <c r="F820" t="s">
        <v>23</v>
      </c>
      <c r="G820" s="12">
        <v>4.5</v>
      </c>
      <c r="H820">
        <v>61</v>
      </c>
      <c r="I820">
        <v>21</v>
      </c>
      <c r="J820">
        <v>20</v>
      </c>
      <c r="K820" s="12">
        <v>4.5</v>
      </c>
      <c r="L820" t="s">
        <v>20</v>
      </c>
      <c r="M820" s="3">
        <v>2098.9</v>
      </c>
      <c r="N820" s="3">
        <v>297</v>
      </c>
      <c r="O820"/>
      <c r="P820" s="3">
        <v>916.4</v>
      </c>
      <c r="Q820" s="13">
        <f t="shared" si="39"/>
        <v>0.3824867481948328</v>
      </c>
      <c r="R820" s="14">
        <f t="shared" si="40"/>
        <v>3312.3</v>
      </c>
      <c r="S820" s="15">
        <f t="shared" si="41"/>
        <v>3908.5140000000001</v>
      </c>
    </row>
    <row r="821" spans="1:19" x14ac:dyDescent="0.3">
      <c r="A821">
        <v>200010076</v>
      </c>
      <c r="B821">
        <v>273712658</v>
      </c>
      <c r="C821" s="11">
        <v>46223</v>
      </c>
      <c r="D821" s="1">
        <v>874110730363</v>
      </c>
      <c r="E821">
        <v>41796</v>
      </c>
      <c r="F821" t="s">
        <v>23</v>
      </c>
      <c r="G821" s="12">
        <v>7.5</v>
      </c>
      <c r="H821">
        <v>62</v>
      </c>
      <c r="I821">
        <v>27</v>
      </c>
      <c r="J821">
        <v>25</v>
      </c>
      <c r="K821" s="12">
        <v>7.5</v>
      </c>
      <c r="L821" t="s">
        <v>20</v>
      </c>
      <c r="M821" s="3">
        <v>2954.2</v>
      </c>
      <c r="N821" s="3">
        <v>495</v>
      </c>
      <c r="O821"/>
      <c r="P821" s="3">
        <v>1319.3</v>
      </c>
      <c r="Q821" s="13">
        <f t="shared" si="39"/>
        <v>0.38249449147628434</v>
      </c>
      <c r="R821" s="14">
        <f t="shared" si="40"/>
        <v>4768.5</v>
      </c>
      <c r="S821" s="15">
        <f t="shared" si="41"/>
        <v>5626.83</v>
      </c>
    </row>
    <row r="822" spans="1:19" x14ac:dyDescent="0.3">
      <c r="A822">
        <v>200010076</v>
      </c>
      <c r="B822">
        <v>273712658</v>
      </c>
      <c r="C822" s="11">
        <v>46223</v>
      </c>
      <c r="D822" s="1">
        <v>874110735207</v>
      </c>
      <c r="E822">
        <v>40550</v>
      </c>
      <c r="F822" t="s">
        <v>23</v>
      </c>
      <c r="G822" s="12">
        <v>5.5</v>
      </c>
      <c r="H822">
        <v>56</v>
      </c>
      <c r="I822">
        <v>24</v>
      </c>
      <c r="J822">
        <v>24</v>
      </c>
      <c r="K822" s="12">
        <v>5.5</v>
      </c>
      <c r="L822" t="s">
        <v>20</v>
      </c>
      <c r="M822" s="3">
        <v>2494</v>
      </c>
      <c r="N822" s="3">
        <v>363</v>
      </c>
      <c r="O822"/>
      <c r="P822" s="3">
        <v>1092.8</v>
      </c>
      <c r="Q822" s="13">
        <f t="shared" si="39"/>
        <v>0.38249912495624777</v>
      </c>
      <c r="R822" s="14">
        <f t="shared" si="40"/>
        <v>3949.8</v>
      </c>
      <c r="S822" s="15">
        <f t="shared" si="41"/>
        <v>4660.7640000000001</v>
      </c>
    </row>
    <row r="823" spans="1:19" x14ac:dyDescent="0.3">
      <c r="A823">
        <v>200010076</v>
      </c>
      <c r="B823">
        <v>273712658</v>
      </c>
      <c r="C823" s="11">
        <v>46223</v>
      </c>
      <c r="D823" s="1">
        <v>874110735387</v>
      </c>
      <c r="E823">
        <v>41415</v>
      </c>
      <c r="F823" t="s">
        <v>23</v>
      </c>
      <c r="G823" s="12">
        <v>4.5</v>
      </c>
      <c r="H823">
        <v>53</v>
      </c>
      <c r="I823">
        <v>22</v>
      </c>
      <c r="J823">
        <v>22</v>
      </c>
      <c r="K823" s="12">
        <v>4.5</v>
      </c>
      <c r="L823" t="s">
        <v>20</v>
      </c>
      <c r="M823" s="3">
        <v>2098.9</v>
      </c>
      <c r="N823" s="3">
        <v>297</v>
      </c>
      <c r="O823"/>
      <c r="P823" s="3">
        <v>916.4</v>
      </c>
      <c r="Q823" s="13">
        <f t="shared" si="39"/>
        <v>0.3824867481948328</v>
      </c>
      <c r="R823" s="14">
        <f t="shared" si="40"/>
        <v>3312.3</v>
      </c>
      <c r="S823" s="15">
        <f t="shared" si="41"/>
        <v>3908.5140000000001</v>
      </c>
    </row>
    <row r="824" spans="1:19" x14ac:dyDescent="0.3">
      <c r="A824">
        <v>200010076</v>
      </c>
      <c r="B824">
        <v>273712658</v>
      </c>
      <c r="C824" s="11">
        <v>46223</v>
      </c>
      <c r="D824" s="1">
        <v>874110740228</v>
      </c>
      <c r="E824">
        <v>41023</v>
      </c>
      <c r="F824" t="s">
        <v>23</v>
      </c>
      <c r="G824" s="12">
        <v>10</v>
      </c>
      <c r="H824">
        <v>102</v>
      </c>
      <c r="I824">
        <v>25</v>
      </c>
      <c r="J824">
        <v>23</v>
      </c>
      <c r="K824" s="12">
        <v>10</v>
      </c>
      <c r="L824" t="s">
        <v>20</v>
      </c>
      <c r="M824" s="3">
        <v>3529.5</v>
      </c>
      <c r="N824" s="3">
        <v>660</v>
      </c>
      <c r="O824"/>
      <c r="P824" s="3">
        <v>1602.5</v>
      </c>
      <c r="Q824" s="13">
        <f t="shared" si="39"/>
        <v>0.38250387874448027</v>
      </c>
      <c r="R824" s="14">
        <f t="shared" si="40"/>
        <v>5792</v>
      </c>
      <c r="S824" s="15">
        <f t="shared" si="41"/>
        <v>6834.5599999999995</v>
      </c>
    </row>
    <row r="825" spans="1:19" x14ac:dyDescent="0.3">
      <c r="A825">
        <v>200010076</v>
      </c>
      <c r="B825">
        <v>273712658</v>
      </c>
      <c r="C825" s="11">
        <v>46223</v>
      </c>
      <c r="D825" s="1">
        <v>874110743168</v>
      </c>
      <c r="E825">
        <v>41639</v>
      </c>
      <c r="F825" t="s">
        <v>23</v>
      </c>
      <c r="G825" s="12">
        <v>15</v>
      </c>
      <c r="H825">
        <v>64</v>
      </c>
      <c r="I825">
        <v>38</v>
      </c>
      <c r="J825">
        <v>36</v>
      </c>
      <c r="K825" s="12">
        <v>15</v>
      </c>
      <c r="L825" t="s">
        <v>20</v>
      </c>
      <c r="M825" s="3">
        <v>6111.3</v>
      </c>
      <c r="N825" s="3">
        <v>990</v>
      </c>
      <c r="O825"/>
      <c r="P825" s="3">
        <v>2716.3</v>
      </c>
      <c r="Q825" s="13">
        <f t="shared" si="39"/>
        <v>0.38250742821736866</v>
      </c>
      <c r="R825" s="14">
        <f t="shared" si="40"/>
        <v>9817.6</v>
      </c>
      <c r="S825" s="15">
        <f t="shared" si="41"/>
        <v>11584.768</v>
      </c>
    </row>
    <row r="826" spans="1:19" x14ac:dyDescent="0.3">
      <c r="A826">
        <v>200010076</v>
      </c>
      <c r="B826">
        <v>273712658</v>
      </c>
      <c r="C826" s="11">
        <v>46223</v>
      </c>
      <c r="D826" s="1">
        <v>874110747954</v>
      </c>
      <c r="E826">
        <v>42122</v>
      </c>
      <c r="F826" t="s">
        <v>23</v>
      </c>
      <c r="G826" s="12">
        <v>5</v>
      </c>
      <c r="H826">
        <v>51</v>
      </c>
      <c r="I826">
        <v>24</v>
      </c>
      <c r="J826">
        <v>23</v>
      </c>
      <c r="K826" s="12">
        <v>5</v>
      </c>
      <c r="L826" t="s">
        <v>20</v>
      </c>
      <c r="M826" s="3">
        <v>2231.6999999999998</v>
      </c>
      <c r="N826" s="3">
        <v>330</v>
      </c>
      <c r="O826"/>
      <c r="P826" s="3">
        <v>979.9</v>
      </c>
      <c r="Q826" s="13">
        <f t="shared" si="39"/>
        <v>0.3825194206971933</v>
      </c>
      <c r="R826" s="14">
        <f t="shared" si="40"/>
        <v>3541.6</v>
      </c>
      <c r="S826" s="15">
        <f t="shared" si="41"/>
        <v>4179.0879999999997</v>
      </c>
    </row>
    <row r="827" spans="1:19" x14ac:dyDescent="0.3">
      <c r="A827">
        <v>200010076</v>
      </c>
      <c r="B827">
        <v>273712658</v>
      </c>
      <c r="C827" s="11">
        <v>46223</v>
      </c>
      <c r="D827" s="1">
        <v>874143814740</v>
      </c>
      <c r="E827">
        <v>7871532</v>
      </c>
      <c r="F827" t="s">
        <v>23</v>
      </c>
      <c r="G827" s="12">
        <v>1.91</v>
      </c>
      <c r="H827">
        <v>38</v>
      </c>
      <c r="I827">
        <v>30</v>
      </c>
      <c r="J827">
        <v>13</v>
      </c>
      <c r="K827" s="12">
        <v>2.5</v>
      </c>
      <c r="L827" t="s">
        <v>20</v>
      </c>
      <c r="M827" s="3">
        <v>1671.3</v>
      </c>
      <c r="N827" s="3">
        <v>165</v>
      </c>
      <c r="O827"/>
      <c r="P827" s="3">
        <v>702.4</v>
      </c>
      <c r="Q827" s="13">
        <f t="shared" si="39"/>
        <v>0.38250830474323366</v>
      </c>
      <c r="R827" s="14">
        <f t="shared" si="40"/>
        <v>2538.6999999999998</v>
      </c>
      <c r="S827" s="15">
        <f t="shared" si="41"/>
        <v>2995.6659999999997</v>
      </c>
    </row>
    <row r="828" spans="1:19" x14ac:dyDescent="0.3">
      <c r="A828">
        <v>200010076</v>
      </c>
      <c r="B828">
        <v>273712658</v>
      </c>
      <c r="C828" s="11">
        <v>46223</v>
      </c>
      <c r="D828" s="1">
        <v>874110591186</v>
      </c>
      <c r="E828">
        <v>42244</v>
      </c>
      <c r="F828" t="s">
        <v>23</v>
      </c>
      <c r="G828" s="12">
        <v>0.5</v>
      </c>
      <c r="K828" s="12">
        <v>0</v>
      </c>
      <c r="L828" t="s">
        <v>20</v>
      </c>
      <c r="M828" s="3">
        <v>1031.7</v>
      </c>
      <c r="N828" s="3">
        <v>42.5</v>
      </c>
      <c r="O828"/>
      <c r="P828" s="3">
        <v>410.9</v>
      </c>
      <c r="Q828" s="13">
        <f t="shared" si="39"/>
        <v>0.38251722211878603</v>
      </c>
      <c r="R828" s="14">
        <f t="shared" si="40"/>
        <v>1485.1</v>
      </c>
      <c r="S828" s="15">
        <f t="shared" si="41"/>
        <v>1752.4179999999999</v>
      </c>
    </row>
    <row r="829" spans="1:19" x14ac:dyDescent="0.3">
      <c r="A829">
        <v>200010076</v>
      </c>
      <c r="B829">
        <v>273712658</v>
      </c>
      <c r="C829" s="11">
        <v>46223</v>
      </c>
      <c r="D829" s="1">
        <v>874110601364</v>
      </c>
      <c r="E829">
        <v>42363</v>
      </c>
      <c r="F829" t="s">
        <v>23</v>
      </c>
      <c r="G829" s="12">
        <v>0.5</v>
      </c>
      <c r="K829" s="12">
        <v>0</v>
      </c>
      <c r="L829" t="s">
        <v>20</v>
      </c>
      <c r="M829" s="3">
        <v>1031.7</v>
      </c>
      <c r="N829" s="3">
        <v>42.5</v>
      </c>
      <c r="O829"/>
      <c r="P829" s="3">
        <v>410.9</v>
      </c>
      <c r="Q829" s="13">
        <f t="shared" si="39"/>
        <v>0.38251722211878603</v>
      </c>
      <c r="R829" s="14">
        <f t="shared" si="40"/>
        <v>1485.1</v>
      </c>
      <c r="S829" s="15">
        <f t="shared" si="41"/>
        <v>1752.4179999999999</v>
      </c>
    </row>
    <row r="830" spans="1:19" x14ac:dyDescent="0.3">
      <c r="A830">
        <v>200010076</v>
      </c>
      <c r="B830">
        <v>273712658</v>
      </c>
      <c r="C830" s="11">
        <v>46223</v>
      </c>
      <c r="D830" s="1">
        <v>874110601434</v>
      </c>
      <c r="E830">
        <v>42279</v>
      </c>
      <c r="F830" t="s">
        <v>23</v>
      </c>
      <c r="G830" s="12">
        <v>0.5</v>
      </c>
      <c r="K830" s="12">
        <v>0</v>
      </c>
      <c r="L830" t="s">
        <v>20</v>
      </c>
      <c r="M830" s="3">
        <v>1031.7</v>
      </c>
      <c r="N830" s="3">
        <v>42.5</v>
      </c>
      <c r="O830"/>
      <c r="P830" s="3">
        <v>410.9</v>
      </c>
      <c r="Q830" s="13">
        <f t="shared" si="39"/>
        <v>0.38251722211878603</v>
      </c>
      <c r="R830" s="14">
        <f t="shared" si="40"/>
        <v>1485.1</v>
      </c>
      <c r="S830" s="15">
        <f t="shared" si="41"/>
        <v>1752.4179999999999</v>
      </c>
    </row>
    <row r="831" spans="1:19" x14ac:dyDescent="0.3">
      <c r="A831">
        <v>200010076</v>
      </c>
      <c r="B831">
        <v>273712658</v>
      </c>
      <c r="C831" s="11">
        <v>46223</v>
      </c>
      <c r="D831" s="1">
        <v>874110612615</v>
      </c>
      <c r="E831">
        <v>42359</v>
      </c>
      <c r="F831" t="s">
        <v>23</v>
      </c>
      <c r="G831" s="12">
        <v>0.5</v>
      </c>
      <c r="K831" s="12">
        <v>0</v>
      </c>
      <c r="L831" t="s">
        <v>20</v>
      </c>
      <c r="M831" s="3">
        <v>1031.7</v>
      </c>
      <c r="N831" s="3">
        <v>42.5</v>
      </c>
      <c r="O831"/>
      <c r="P831" s="3">
        <v>410.9</v>
      </c>
      <c r="Q831" s="13">
        <f t="shared" si="39"/>
        <v>0.38251722211878603</v>
      </c>
      <c r="R831" s="14">
        <f t="shared" si="40"/>
        <v>1485.1</v>
      </c>
      <c r="S831" s="15">
        <f t="shared" si="41"/>
        <v>1752.4179999999999</v>
      </c>
    </row>
    <row r="832" spans="1:19" x14ac:dyDescent="0.3">
      <c r="A832">
        <v>200010076</v>
      </c>
      <c r="B832">
        <v>273712658</v>
      </c>
      <c r="C832" s="11">
        <v>46223</v>
      </c>
      <c r="D832" s="1">
        <v>874110621105</v>
      </c>
      <c r="E832">
        <v>42294</v>
      </c>
      <c r="F832" t="s">
        <v>23</v>
      </c>
      <c r="G832" s="12">
        <v>0.5</v>
      </c>
      <c r="K832" s="12">
        <v>0</v>
      </c>
      <c r="L832" t="s">
        <v>20</v>
      </c>
      <c r="M832" s="3">
        <v>1031.7</v>
      </c>
      <c r="N832" s="3">
        <v>42.5</v>
      </c>
      <c r="O832"/>
      <c r="P832" s="3">
        <v>410.9</v>
      </c>
      <c r="Q832" s="13">
        <f t="shared" si="39"/>
        <v>0.38251722211878603</v>
      </c>
      <c r="R832" s="14">
        <f t="shared" si="40"/>
        <v>1485.1</v>
      </c>
      <c r="S832" s="15">
        <f t="shared" si="41"/>
        <v>1752.4179999999999</v>
      </c>
    </row>
    <row r="833" spans="1:19" x14ac:dyDescent="0.3">
      <c r="A833">
        <v>200010076</v>
      </c>
      <c r="B833">
        <v>273712658</v>
      </c>
      <c r="C833" s="11">
        <v>46223</v>
      </c>
      <c r="D833" s="1">
        <v>874110642011</v>
      </c>
      <c r="E833">
        <v>42268</v>
      </c>
      <c r="F833" t="s">
        <v>23</v>
      </c>
      <c r="G833" s="12">
        <v>0.5</v>
      </c>
      <c r="K833" s="12">
        <v>0</v>
      </c>
      <c r="L833" t="s">
        <v>20</v>
      </c>
      <c r="M833" s="3">
        <v>1031.7</v>
      </c>
      <c r="N833" s="3">
        <v>42.5</v>
      </c>
      <c r="O833"/>
      <c r="P833" s="3">
        <v>410.9</v>
      </c>
      <c r="Q833" s="13">
        <f t="shared" si="39"/>
        <v>0.38251722211878603</v>
      </c>
      <c r="R833" s="14">
        <f t="shared" si="40"/>
        <v>1485.1</v>
      </c>
      <c r="S833" s="15">
        <f t="shared" si="41"/>
        <v>1752.4179999999999</v>
      </c>
    </row>
    <row r="834" spans="1:19" x14ac:dyDescent="0.3">
      <c r="A834">
        <v>200010076</v>
      </c>
      <c r="B834">
        <v>273712658</v>
      </c>
      <c r="C834" s="11">
        <v>46223</v>
      </c>
      <c r="D834" s="1">
        <v>874110642651</v>
      </c>
      <c r="E834">
        <v>40826</v>
      </c>
      <c r="F834" t="s">
        <v>23</v>
      </c>
      <c r="G834" s="12">
        <v>0.54</v>
      </c>
      <c r="K834" s="12">
        <v>0</v>
      </c>
      <c r="L834" t="s">
        <v>20</v>
      </c>
      <c r="M834" s="3">
        <v>1031.7</v>
      </c>
      <c r="N834" s="3">
        <v>42.5</v>
      </c>
      <c r="O834"/>
      <c r="P834" s="3">
        <v>410.9</v>
      </c>
      <c r="Q834" s="13">
        <f t="shared" si="39"/>
        <v>0.38251722211878603</v>
      </c>
      <c r="R834" s="14">
        <f t="shared" si="40"/>
        <v>1485.1</v>
      </c>
      <c r="S834" s="15">
        <f t="shared" si="41"/>
        <v>1752.4179999999999</v>
      </c>
    </row>
    <row r="835" spans="1:19" x14ac:dyDescent="0.3">
      <c r="A835">
        <v>200010076</v>
      </c>
      <c r="B835">
        <v>273712658</v>
      </c>
      <c r="C835" s="11">
        <v>46223</v>
      </c>
      <c r="D835" s="1">
        <v>874110655294</v>
      </c>
      <c r="E835">
        <v>42151</v>
      </c>
      <c r="F835" t="s">
        <v>23</v>
      </c>
      <c r="G835" s="12">
        <v>0.5</v>
      </c>
      <c r="K835" s="12">
        <v>0</v>
      </c>
      <c r="L835" t="s">
        <v>20</v>
      </c>
      <c r="M835" s="3">
        <v>1031.7</v>
      </c>
      <c r="N835" s="3">
        <v>42.5</v>
      </c>
      <c r="O835"/>
      <c r="P835" s="3">
        <v>410.9</v>
      </c>
      <c r="Q835" s="13">
        <f t="shared" si="39"/>
        <v>0.38251722211878603</v>
      </c>
      <c r="R835" s="14">
        <f t="shared" si="40"/>
        <v>1485.1</v>
      </c>
      <c r="S835" s="15">
        <f t="shared" si="41"/>
        <v>1752.4179999999999</v>
      </c>
    </row>
    <row r="836" spans="1:19" x14ac:dyDescent="0.3">
      <c r="A836">
        <v>200010076</v>
      </c>
      <c r="B836">
        <v>273712658</v>
      </c>
      <c r="C836" s="11">
        <v>46223</v>
      </c>
      <c r="D836" s="1">
        <v>874110657790</v>
      </c>
      <c r="E836">
        <v>42184</v>
      </c>
      <c r="F836" t="s">
        <v>23</v>
      </c>
      <c r="G836" s="12">
        <v>0.5</v>
      </c>
      <c r="K836" s="12">
        <v>0</v>
      </c>
      <c r="L836" t="s">
        <v>20</v>
      </c>
      <c r="M836" s="3">
        <v>1031.7</v>
      </c>
      <c r="N836" s="3">
        <v>42.5</v>
      </c>
      <c r="O836"/>
      <c r="P836" s="3">
        <v>410.9</v>
      </c>
      <c r="Q836" s="13">
        <f t="shared" si="39"/>
        <v>0.38251722211878603</v>
      </c>
      <c r="R836" s="14">
        <f t="shared" si="40"/>
        <v>1485.1</v>
      </c>
      <c r="S836" s="15">
        <f t="shared" si="41"/>
        <v>1752.4179999999999</v>
      </c>
    </row>
    <row r="837" spans="1:19" x14ac:dyDescent="0.3">
      <c r="A837">
        <v>200010076</v>
      </c>
      <c r="B837">
        <v>273712658</v>
      </c>
      <c r="C837" s="11">
        <v>46223</v>
      </c>
      <c r="D837" s="1">
        <v>874110659750</v>
      </c>
      <c r="E837">
        <v>41951</v>
      </c>
      <c r="F837" t="s">
        <v>23</v>
      </c>
      <c r="G837" s="12">
        <v>0.5</v>
      </c>
      <c r="K837" s="12">
        <v>0</v>
      </c>
      <c r="L837" t="s">
        <v>20</v>
      </c>
      <c r="M837" s="3">
        <v>1031.7</v>
      </c>
      <c r="N837" s="3">
        <v>42.5</v>
      </c>
      <c r="O837"/>
      <c r="P837" s="3">
        <v>410.9</v>
      </c>
      <c r="Q837" s="13">
        <f t="shared" si="39"/>
        <v>0.38251722211878603</v>
      </c>
      <c r="R837" s="14">
        <f t="shared" si="40"/>
        <v>1485.1</v>
      </c>
      <c r="S837" s="15">
        <f t="shared" si="41"/>
        <v>1752.4179999999999</v>
      </c>
    </row>
    <row r="838" spans="1:19" x14ac:dyDescent="0.3">
      <c r="A838">
        <v>200010076</v>
      </c>
      <c r="B838">
        <v>273712658</v>
      </c>
      <c r="C838" s="11">
        <v>46223</v>
      </c>
      <c r="D838" s="1">
        <v>874110662540</v>
      </c>
      <c r="E838">
        <v>42233</v>
      </c>
      <c r="F838" t="s">
        <v>23</v>
      </c>
      <c r="G838" s="12">
        <v>0.5</v>
      </c>
      <c r="K838" s="12">
        <v>0</v>
      </c>
      <c r="L838" t="s">
        <v>20</v>
      </c>
      <c r="M838" s="3">
        <v>1031.7</v>
      </c>
      <c r="N838" s="3">
        <v>42.5</v>
      </c>
      <c r="O838"/>
      <c r="P838" s="3">
        <v>410.9</v>
      </c>
      <c r="Q838" s="13">
        <f t="shared" si="39"/>
        <v>0.38251722211878603</v>
      </c>
      <c r="R838" s="14">
        <f t="shared" si="40"/>
        <v>1485.1</v>
      </c>
      <c r="S838" s="15">
        <f t="shared" si="41"/>
        <v>1752.4179999999999</v>
      </c>
    </row>
    <row r="839" spans="1:19" x14ac:dyDescent="0.3">
      <c r="A839">
        <v>200010076</v>
      </c>
      <c r="B839">
        <v>273712658</v>
      </c>
      <c r="C839" s="11">
        <v>46223</v>
      </c>
      <c r="D839" s="1">
        <v>874110663112</v>
      </c>
      <c r="E839">
        <v>42171</v>
      </c>
      <c r="F839" t="s">
        <v>23</v>
      </c>
      <c r="G839" s="12">
        <v>0.45</v>
      </c>
      <c r="K839" s="12">
        <v>0</v>
      </c>
      <c r="L839" t="s">
        <v>20</v>
      </c>
      <c r="M839" s="3">
        <v>1031.7</v>
      </c>
      <c r="N839" s="3">
        <v>42.5</v>
      </c>
      <c r="O839"/>
      <c r="P839" s="3">
        <v>410.9</v>
      </c>
      <c r="Q839" s="13">
        <f t="shared" si="39"/>
        <v>0.38251722211878603</v>
      </c>
      <c r="R839" s="14">
        <f t="shared" si="40"/>
        <v>1485.1</v>
      </c>
      <c r="S839" s="15">
        <f t="shared" si="41"/>
        <v>1752.4179999999999</v>
      </c>
    </row>
    <row r="840" spans="1:19" x14ac:dyDescent="0.3">
      <c r="A840">
        <v>200010076</v>
      </c>
      <c r="B840">
        <v>273712658</v>
      </c>
      <c r="C840" s="11">
        <v>46223</v>
      </c>
      <c r="D840" s="1">
        <v>874110668802</v>
      </c>
      <c r="E840">
        <v>42361</v>
      </c>
      <c r="F840" t="s">
        <v>23</v>
      </c>
      <c r="G840" s="12">
        <v>0.5</v>
      </c>
      <c r="K840" s="12">
        <v>0</v>
      </c>
      <c r="L840" t="s">
        <v>20</v>
      </c>
      <c r="M840" s="3">
        <v>1031.7</v>
      </c>
      <c r="N840" s="3">
        <v>42.5</v>
      </c>
      <c r="O840"/>
      <c r="P840" s="3">
        <v>410.9</v>
      </c>
      <c r="Q840" s="13">
        <f t="shared" si="39"/>
        <v>0.38251722211878603</v>
      </c>
      <c r="R840" s="14">
        <f t="shared" si="40"/>
        <v>1485.1</v>
      </c>
      <c r="S840" s="15">
        <f t="shared" si="41"/>
        <v>1752.4179999999999</v>
      </c>
    </row>
    <row r="841" spans="1:19" x14ac:dyDescent="0.3">
      <c r="A841">
        <v>200010076</v>
      </c>
      <c r="B841">
        <v>273712658</v>
      </c>
      <c r="C841" s="11">
        <v>46223</v>
      </c>
      <c r="D841" s="1">
        <v>874110668868</v>
      </c>
      <c r="E841">
        <v>42288</v>
      </c>
      <c r="F841" t="s">
        <v>23</v>
      </c>
      <c r="G841" s="12">
        <v>0.5</v>
      </c>
      <c r="K841" s="12">
        <v>0</v>
      </c>
      <c r="L841" t="s">
        <v>20</v>
      </c>
      <c r="M841" s="3">
        <v>1031.7</v>
      </c>
      <c r="N841" s="3">
        <v>42.5</v>
      </c>
      <c r="O841"/>
      <c r="P841" s="3">
        <v>410.9</v>
      </c>
      <c r="Q841" s="13">
        <f t="shared" si="39"/>
        <v>0.38251722211878603</v>
      </c>
      <c r="R841" s="14">
        <f t="shared" si="40"/>
        <v>1485.1</v>
      </c>
      <c r="S841" s="15">
        <f t="shared" si="41"/>
        <v>1752.4179999999999</v>
      </c>
    </row>
    <row r="842" spans="1:19" x14ac:dyDescent="0.3">
      <c r="A842">
        <v>200010076</v>
      </c>
      <c r="B842">
        <v>273712658</v>
      </c>
      <c r="C842" s="11">
        <v>46223</v>
      </c>
      <c r="D842" s="1">
        <v>874110673271</v>
      </c>
      <c r="E842">
        <v>42480</v>
      </c>
      <c r="F842" t="s">
        <v>23</v>
      </c>
      <c r="G842" s="12">
        <v>0.5</v>
      </c>
      <c r="K842" s="12">
        <v>0</v>
      </c>
      <c r="L842" t="s">
        <v>20</v>
      </c>
      <c r="M842" s="3">
        <v>1031.7</v>
      </c>
      <c r="N842" s="3">
        <v>42.5</v>
      </c>
      <c r="O842"/>
      <c r="P842" s="3">
        <v>410.9</v>
      </c>
      <c r="Q842" s="13">
        <f t="shared" si="39"/>
        <v>0.38251722211878603</v>
      </c>
      <c r="R842" s="14">
        <f t="shared" si="40"/>
        <v>1485.1</v>
      </c>
      <c r="S842" s="15">
        <f t="shared" si="41"/>
        <v>1752.4179999999999</v>
      </c>
    </row>
    <row r="843" spans="1:19" x14ac:dyDescent="0.3">
      <c r="A843">
        <v>200010076</v>
      </c>
      <c r="B843">
        <v>273712658</v>
      </c>
      <c r="C843" s="11">
        <v>46223</v>
      </c>
      <c r="D843" s="1">
        <v>874110679096</v>
      </c>
      <c r="E843">
        <v>42267</v>
      </c>
      <c r="F843" t="s">
        <v>23</v>
      </c>
      <c r="G843" s="12">
        <v>0.5</v>
      </c>
      <c r="K843" s="12">
        <v>0</v>
      </c>
      <c r="L843" t="s">
        <v>20</v>
      </c>
      <c r="M843" s="3">
        <v>1031.7</v>
      </c>
      <c r="N843" s="3">
        <v>42.5</v>
      </c>
      <c r="O843"/>
      <c r="P843" s="3">
        <v>410.9</v>
      </c>
      <c r="Q843" s="13">
        <f t="shared" si="39"/>
        <v>0.38251722211878603</v>
      </c>
      <c r="R843" s="14">
        <f t="shared" si="40"/>
        <v>1485.1</v>
      </c>
      <c r="S843" s="15">
        <f t="shared" si="41"/>
        <v>1752.4179999999999</v>
      </c>
    </row>
    <row r="844" spans="1:19" x14ac:dyDescent="0.3">
      <c r="A844">
        <v>200010076</v>
      </c>
      <c r="B844">
        <v>273712658</v>
      </c>
      <c r="C844" s="11">
        <v>46223</v>
      </c>
      <c r="D844" s="1">
        <v>874110682964</v>
      </c>
      <c r="E844">
        <v>42310</v>
      </c>
      <c r="F844" t="s">
        <v>23</v>
      </c>
      <c r="G844" s="12">
        <v>0.5</v>
      </c>
      <c r="K844" s="12">
        <v>0</v>
      </c>
      <c r="L844" t="s">
        <v>20</v>
      </c>
      <c r="M844" s="3">
        <v>1031.7</v>
      </c>
      <c r="N844" s="3">
        <v>42.5</v>
      </c>
      <c r="O844"/>
      <c r="P844" s="3">
        <v>410.9</v>
      </c>
      <c r="Q844" s="13">
        <f t="shared" si="39"/>
        <v>0.38251722211878603</v>
      </c>
      <c r="R844" s="14">
        <f t="shared" si="40"/>
        <v>1485.1</v>
      </c>
      <c r="S844" s="15">
        <f t="shared" si="41"/>
        <v>1752.4179999999999</v>
      </c>
    </row>
    <row r="845" spans="1:19" x14ac:dyDescent="0.3">
      <c r="A845">
        <v>200010076</v>
      </c>
      <c r="B845">
        <v>273712658</v>
      </c>
      <c r="C845" s="11">
        <v>46223</v>
      </c>
      <c r="D845" s="1">
        <v>874110688150</v>
      </c>
      <c r="E845">
        <v>7871568</v>
      </c>
      <c r="F845" t="s">
        <v>23</v>
      </c>
      <c r="G845" s="12">
        <v>0.5</v>
      </c>
      <c r="K845" s="12">
        <v>0</v>
      </c>
      <c r="L845" t="s">
        <v>20</v>
      </c>
      <c r="M845" s="3">
        <v>1031.7</v>
      </c>
      <c r="N845" s="3">
        <v>42.5</v>
      </c>
      <c r="O845"/>
      <c r="P845" s="3">
        <v>410.9</v>
      </c>
      <c r="Q845" s="13">
        <f t="shared" si="39"/>
        <v>0.38251722211878603</v>
      </c>
      <c r="R845" s="14">
        <f t="shared" si="40"/>
        <v>1485.1</v>
      </c>
      <c r="S845" s="15">
        <f t="shared" si="41"/>
        <v>1752.4179999999999</v>
      </c>
    </row>
    <row r="846" spans="1:19" x14ac:dyDescent="0.3">
      <c r="A846">
        <v>200010076</v>
      </c>
      <c r="B846">
        <v>273712658</v>
      </c>
      <c r="C846" s="11">
        <v>46223</v>
      </c>
      <c r="D846" s="1">
        <v>874110691899</v>
      </c>
      <c r="E846">
        <v>42210</v>
      </c>
      <c r="F846" t="s">
        <v>23</v>
      </c>
      <c r="G846" s="12">
        <v>0.5</v>
      </c>
      <c r="K846" s="12">
        <v>0</v>
      </c>
      <c r="L846" t="s">
        <v>20</v>
      </c>
      <c r="M846" s="3">
        <v>1031.7</v>
      </c>
      <c r="N846" s="3">
        <v>42.5</v>
      </c>
      <c r="O846"/>
      <c r="P846" s="3">
        <v>410.9</v>
      </c>
      <c r="Q846" s="13">
        <f t="shared" si="39"/>
        <v>0.38251722211878603</v>
      </c>
      <c r="R846" s="14">
        <f t="shared" si="40"/>
        <v>1485.1</v>
      </c>
      <c r="S846" s="15">
        <f t="shared" si="41"/>
        <v>1752.4179999999999</v>
      </c>
    </row>
    <row r="847" spans="1:19" x14ac:dyDescent="0.3">
      <c r="A847">
        <v>200010076</v>
      </c>
      <c r="B847">
        <v>273712658</v>
      </c>
      <c r="C847" s="11">
        <v>46223</v>
      </c>
      <c r="D847" s="1">
        <v>874110693300</v>
      </c>
      <c r="E847">
        <v>4108460739</v>
      </c>
      <c r="F847" t="s">
        <v>23</v>
      </c>
      <c r="G847" s="12">
        <v>0.5</v>
      </c>
      <c r="K847" s="12">
        <v>0</v>
      </c>
      <c r="L847" t="s">
        <v>20</v>
      </c>
      <c r="M847" s="3">
        <v>1031.7</v>
      </c>
      <c r="N847" s="3">
        <v>42.5</v>
      </c>
      <c r="O847"/>
      <c r="P847" s="3">
        <v>410.9</v>
      </c>
      <c r="Q847" s="13">
        <f t="shared" si="39"/>
        <v>0.38251722211878603</v>
      </c>
      <c r="R847" s="14">
        <f t="shared" si="40"/>
        <v>1485.1</v>
      </c>
      <c r="S847" s="15">
        <f t="shared" si="41"/>
        <v>1752.4179999999999</v>
      </c>
    </row>
    <row r="848" spans="1:19" x14ac:dyDescent="0.3">
      <c r="A848">
        <v>200010076</v>
      </c>
      <c r="B848">
        <v>273712658</v>
      </c>
      <c r="C848" s="11">
        <v>46223</v>
      </c>
      <c r="D848" s="1">
        <v>874110709520</v>
      </c>
      <c r="E848">
        <v>39010</v>
      </c>
      <c r="F848" t="s">
        <v>23</v>
      </c>
      <c r="G848" s="12">
        <v>0.45</v>
      </c>
      <c r="K848" s="12">
        <v>0</v>
      </c>
      <c r="L848" t="s">
        <v>20</v>
      </c>
      <c r="M848" s="3">
        <v>1031.7</v>
      </c>
      <c r="N848" s="3">
        <v>42.5</v>
      </c>
      <c r="O848"/>
      <c r="P848" s="3">
        <v>410.9</v>
      </c>
      <c r="Q848" s="13">
        <f t="shared" si="39"/>
        <v>0.38251722211878603</v>
      </c>
      <c r="R848" s="14">
        <f t="shared" si="40"/>
        <v>1485.1</v>
      </c>
      <c r="S848" s="15">
        <f t="shared" si="41"/>
        <v>1752.4179999999999</v>
      </c>
    </row>
    <row r="849" spans="1:19" x14ac:dyDescent="0.3">
      <c r="A849">
        <v>200010076</v>
      </c>
      <c r="B849">
        <v>273712658</v>
      </c>
      <c r="C849" s="11">
        <v>46223</v>
      </c>
      <c r="D849" s="1">
        <v>874110719494</v>
      </c>
      <c r="E849">
        <v>40565</v>
      </c>
      <c r="F849" t="s">
        <v>23</v>
      </c>
      <c r="G849" s="12">
        <v>1</v>
      </c>
      <c r="K849" s="12">
        <v>0</v>
      </c>
      <c r="L849" t="s">
        <v>20</v>
      </c>
      <c r="M849" s="3">
        <v>1146.7</v>
      </c>
      <c r="N849" s="3">
        <v>66</v>
      </c>
      <c r="O849"/>
      <c r="P849" s="3">
        <v>463.9</v>
      </c>
      <c r="Q849" s="13">
        <f t="shared" si="39"/>
        <v>0.38253483961408424</v>
      </c>
      <c r="R849" s="14">
        <f t="shared" si="40"/>
        <v>1676.6</v>
      </c>
      <c r="S849" s="15">
        <f t="shared" si="41"/>
        <v>1978.3879999999997</v>
      </c>
    </row>
    <row r="850" spans="1:19" x14ac:dyDescent="0.3">
      <c r="A850">
        <v>200010076</v>
      </c>
      <c r="B850">
        <v>273712658</v>
      </c>
      <c r="C850" s="11">
        <v>46223</v>
      </c>
      <c r="D850" s="1">
        <v>874110739978</v>
      </c>
      <c r="E850">
        <v>42357</v>
      </c>
      <c r="F850" t="s">
        <v>23</v>
      </c>
      <c r="G850" s="12">
        <v>0.5</v>
      </c>
      <c r="K850" s="12">
        <v>0</v>
      </c>
      <c r="L850" t="s">
        <v>20</v>
      </c>
      <c r="M850" s="3">
        <v>1031.7</v>
      </c>
      <c r="N850" s="3">
        <v>42.5</v>
      </c>
      <c r="O850"/>
      <c r="P850" s="3">
        <v>410.9</v>
      </c>
      <c r="Q850" s="13">
        <f t="shared" si="39"/>
        <v>0.38251722211878603</v>
      </c>
      <c r="R850" s="14">
        <f t="shared" si="40"/>
        <v>1485.1</v>
      </c>
      <c r="S850" s="15">
        <f t="shared" si="41"/>
        <v>1752.4179999999999</v>
      </c>
    </row>
    <row r="851" spans="1:19" x14ac:dyDescent="0.3">
      <c r="A851">
        <v>200010076</v>
      </c>
      <c r="B851">
        <v>273712658</v>
      </c>
      <c r="C851" s="11">
        <v>46223</v>
      </c>
      <c r="D851" s="1">
        <v>874175290156</v>
      </c>
      <c r="E851">
        <v>40445</v>
      </c>
      <c r="F851" t="s">
        <v>24</v>
      </c>
      <c r="G851" s="12">
        <v>3</v>
      </c>
      <c r="H851">
        <v>52</v>
      </c>
      <c r="I851">
        <v>19</v>
      </c>
      <c r="J851">
        <v>18</v>
      </c>
      <c r="K851" s="12">
        <v>3</v>
      </c>
      <c r="L851" t="s">
        <v>20</v>
      </c>
      <c r="M851" s="3">
        <v>1700.6</v>
      </c>
      <c r="N851" s="3">
        <v>198</v>
      </c>
      <c r="O851"/>
      <c r="P851" s="3">
        <v>726.2</v>
      </c>
      <c r="Q851" s="13">
        <f t="shared" si="39"/>
        <v>0.38249236279363746</v>
      </c>
      <c r="R851" s="14">
        <f t="shared" si="40"/>
        <v>2624.8</v>
      </c>
      <c r="S851" s="15">
        <f t="shared" si="41"/>
        <v>3097.2640000000001</v>
      </c>
    </row>
    <row r="852" spans="1:19" x14ac:dyDescent="0.3">
      <c r="A852">
        <v>200010076</v>
      </c>
      <c r="B852">
        <v>273712658</v>
      </c>
      <c r="C852" s="11">
        <v>46223</v>
      </c>
      <c r="D852" s="1">
        <v>874175298890</v>
      </c>
      <c r="E852">
        <v>41286</v>
      </c>
      <c r="F852" t="s">
        <v>24</v>
      </c>
      <c r="G852" s="12">
        <v>7.5</v>
      </c>
      <c r="H852">
        <v>50</v>
      </c>
      <c r="I852">
        <v>30</v>
      </c>
      <c r="J852">
        <v>28</v>
      </c>
      <c r="K852" s="12">
        <v>7.5</v>
      </c>
      <c r="L852" t="s">
        <v>20</v>
      </c>
      <c r="M852" s="3">
        <v>2954.2</v>
      </c>
      <c r="N852" s="3">
        <v>495</v>
      </c>
      <c r="O852"/>
      <c r="P852" s="3">
        <v>1319.3</v>
      </c>
      <c r="Q852" s="13">
        <f t="shared" si="39"/>
        <v>0.38249449147628434</v>
      </c>
      <c r="R852" s="14">
        <f t="shared" si="40"/>
        <v>4768.5</v>
      </c>
      <c r="S852" s="15">
        <f t="shared" si="41"/>
        <v>5626.83</v>
      </c>
    </row>
    <row r="853" spans="1:19" x14ac:dyDescent="0.3">
      <c r="A853">
        <v>200010076</v>
      </c>
      <c r="B853">
        <v>273712658</v>
      </c>
      <c r="C853" s="11">
        <v>46223</v>
      </c>
      <c r="D853" s="1">
        <v>874175312522</v>
      </c>
      <c r="E853">
        <v>4090566397</v>
      </c>
      <c r="F853" t="s">
        <v>24</v>
      </c>
      <c r="G853" s="12">
        <v>20</v>
      </c>
      <c r="H853">
        <v>79</v>
      </c>
      <c r="I853">
        <v>40</v>
      </c>
      <c r="J853">
        <v>38</v>
      </c>
      <c r="K853" s="12">
        <v>20</v>
      </c>
      <c r="L853" t="s">
        <v>20</v>
      </c>
      <c r="M853" s="3">
        <v>7818.1</v>
      </c>
      <c r="N853" s="3">
        <v>1320</v>
      </c>
      <c r="O853"/>
      <c r="P853" s="3">
        <v>3495.3</v>
      </c>
      <c r="Q853" s="13">
        <f t="shared" si="39"/>
        <v>0.38249745570742277</v>
      </c>
      <c r="R853" s="14">
        <f t="shared" si="40"/>
        <v>12633.400000000001</v>
      </c>
      <c r="S853" s="15">
        <f t="shared" si="41"/>
        <v>14907.412</v>
      </c>
    </row>
    <row r="854" spans="1:19" x14ac:dyDescent="0.3">
      <c r="A854">
        <v>200010076</v>
      </c>
      <c r="B854">
        <v>273712658</v>
      </c>
      <c r="C854" s="11">
        <v>46223</v>
      </c>
      <c r="D854" s="1">
        <v>874175319700</v>
      </c>
      <c r="E854">
        <v>41499</v>
      </c>
      <c r="F854" t="s">
        <v>24</v>
      </c>
      <c r="G854" s="12">
        <v>7</v>
      </c>
      <c r="H854">
        <v>64</v>
      </c>
      <c r="I854">
        <v>25</v>
      </c>
      <c r="J854">
        <v>24</v>
      </c>
      <c r="K854" s="12">
        <v>7</v>
      </c>
      <c r="L854" t="s">
        <v>20</v>
      </c>
      <c r="M854" s="3">
        <v>2839.2</v>
      </c>
      <c r="N854" s="3">
        <v>462</v>
      </c>
      <c r="O854"/>
      <c r="P854" s="3">
        <v>1262.7</v>
      </c>
      <c r="Q854" s="13">
        <f t="shared" si="39"/>
        <v>0.38249727371864778</v>
      </c>
      <c r="R854" s="14">
        <f t="shared" si="40"/>
        <v>4563.8999999999996</v>
      </c>
      <c r="S854" s="15">
        <f t="shared" si="41"/>
        <v>5385.4019999999991</v>
      </c>
    </row>
    <row r="855" spans="1:19" x14ac:dyDescent="0.3">
      <c r="A855">
        <v>200010076</v>
      </c>
      <c r="B855">
        <v>273712658</v>
      </c>
      <c r="C855" s="11">
        <v>46223</v>
      </c>
      <c r="D855" s="1">
        <v>874175322718</v>
      </c>
      <c r="E855">
        <v>40464</v>
      </c>
      <c r="F855" t="s">
        <v>24</v>
      </c>
      <c r="G855" s="12">
        <v>3.5</v>
      </c>
      <c r="H855">
        <v>43</v>
      </c>
      <c r="I855">
        <v>22</v>
      </c>
      <c r="J855">
        <v>20</v>
      </c>
      <c r="K855" s="12">
        <v>3.5</v>
      </c>
      <c r="L855" t="s">
        <v>20</v>
      </c>
      <c r="M855" s="3">
        <v>1833.3</v>
      </c>
      <c r="N855" s="3">
        <v>231</v>
      </c>
      <c r="O855"/>
      <c r="P855" s="3">
        <v>789.6</v>
      </c>
      <c r="Q855" s="13">
        <f t="shared" si="39"/>
        <v>0.38250254323499489</v>
      </c>
      <c r="R855" s="14">
        <f t="shared" si="40"/>
        <v>2853.9</v>
      </c>
      <c r="S855" s="15">
        <f t="shared" si="41"/>
        <v>3367.6019999999999</v>
      </c>
    </row>
    <row r="856" spans="1:19" x14ac:dyDescent="0.3">
      <c r="A856">
        <v>200010076</v>
      </c>
      <c r="B856">
        <v>273712658</v>
      </c>
      <c r="C856" s="11">
        <v>46223</v>
      </c>
      <c r="D856" s="1">
        <v>874175355238</v>
      </c>
      <c r="E856">
        <v>41098</v>
      </c>
      <c r="F856" t="s">
        <v>24</v>
      </c>
      <c r="G856" s="12">
        <v>5</v>
      </c>
      <c r="H856">
        <v>48</v>
      </c>
      <c r="I856">
        <v>24</v>
      </c>
      <c r="J856">
        <v>23</v>
      </c>
      <c r="K856" s="12">
        <v>5</v>
      </c>
      <c r="L856" t="s">
        <v>20</v>
      </c>
      <c r="M856" s="3">
        <v>2231.6999999999998</v>
      </c>
      <c r="N856" s="3">
        <v>330</v>
      </c>
      <c r="O856"/>
      <c r="P856" s="3">
        <v>979.9</v>
      </c>
      <c r="Q856" s="13">
        <f t="shared" si="39"/>
        <v>0.3825194206971933</v>
      </c>
      <c r="R856" s="14">
        <f t="shared" si="40"/>
        <v>3541.6</v>
      </c>
      <c r="S856" s="15">
        <f t="shared" si="41"/>
        <v>4179.0879999999997</v>
      </c>
    </row>
    <row r="857" spans="1:19" x14ac:dyDescent="0.3">
      <c r="A857">
        <v>200010076</v>
      </c>
      <c r="B857">
        <v>273712658</v>
      </c>
      <c r="C857" s="11">
        <v>46223</v>
      </c>
      <c r="D857" s="1">
        <v>874175355856</v>
      </c>
      <c r="E857">
        <v>41417</v>
      </c>
      <c r="F857" t="s">
        <v>24</v>
      </c>
      <c r="G857" s="12">
        <v>8.5</v>
      </c>
      <c r="H857">
        <v>70</v>
      </c>
      <c r="I857">
        <v>26</v>
      </c>
      <c r="J857">
        <v>26</v>
      </c>
      <c r="K857" s="12">
        <v>8.5</v>
      </c>
      <c r="L857" t="s">
        <v>20</v>
      </c>
      <c r="M857" s="3">
        <v>3184.4</v>
      </c>
      <c r="N857" s="3">
        <v>561</v>
      </c>
      <c r="O857"/>
      <c r="P857" s="3">
        <v>1432.6</v>
      </c>
      <c r="Q857" s="13">
        <f t="shared" si="39"/>
        <v>0.38249586159021731</v>
      </c>
      <c r="R857" s="14">
        <f t="shared" si="40"/>
        <v>5178</v>
      </c>
      <c r="S857" s="15">
        <f t="shared" si="41"/>
        <v>6110.04</v>
      </c>
    </row>
    <row r="858" spans="1:19" x14ac:dyDescent="0.3">
      <c r="A858">
        <v>200010076</v>
      </c>
      <c r="B858">
        <v>273712658</v>
      </c>
      <c r="C858" s="11">
        <v>46223</v>
      </c>
      <c r="D858" s="1">
        <v>874175368959</v>
      </c>
      <c r="E858">
        <v>41967</v>
      </c>
      <c r="F858" t="s">
        <v>24</v>
      </c>
      <c r="G858" s="12">
        <v>10</v>
      </c>
      <c r="H858">
        <v>48</v>
      </c>
      <c r="I858">
        <v>35</v>
      </c>
      <c r="J858">
        <v>32</v>
      </c>
      <c r="K858" s="12">
        <v>10</v>
      </c>
      <c r="L858" t="s">
        <v>20</v>
      </c>
      <c r="M858" s="3">
        <v>3529.5</v>
      </c>
      <c r="N858" s="3">
        <v>660</v>
      </c>
      <c r="O858"/>
      <c r="P858" s="3">
        <v>1602.5</v>
      </c>
      <c r="Q858" s="13">
        <f t="shared" si="39"/>
        <v>0.38250387874448027</v>
      </c>
      <c r="R858" s="14">
        <f t="shared" si="40"/>
        <v>5792</v>
      </c>
      <c r="S858" s="15">
        <f t="shared" si="41"/>
        <v>6834.5599999999995</v>
      </c>
    </row>
    <row r="859" spans="1:19" x14ac:dyDescent="0.3">
      <c r="A859">
        <v>200010076</v>
      </c>
      <c r="B859">
        <v>273712658</v>
      </c>
      <c r="C859" s="11">
        <v>46223</v>
      </c>
      <c r="D859" s="1">
        <v>874175376670</v>
      </c>
      <c r="E859">
        <v>41678</v>
      </c>
      <c r="F859" t="s">
        <v>24</v>
      </c>
      <c r="G859" s="12">
        <v>9</v>
      </c>
      <c r="H859">
        <v>51</v>
      </c>
      <c r="I859">
        <v>32</v>
      </c>
      <c r="J859">
        <v>32</v>
      </c>
      <c r="K859" s="12">
        <v>9</v>
      </c>
      <c r="L859" t="s">
        <v>20</v>
      </c>
      <c r="M859" s="3">
        <v>3299.4</v>
      </c>
      <c r="N859" s="3">
        <v>594</v>
      </c>
      <c r="O859"/>
      <c r="P859" s="3">
        <v>1489.2</v>
      </c>
      <c r="Q859" s="13">
        <f t="shared" si="39"/>
        <v>0.38249345045461552</v>
      </c>
      <c r="R859" s="14">
        <f t="shared" si="40"/>
        <v>5382.6</v>
      </c>
      <c r="S859" s="15">
        <f t="shared" si="41"/>
        <v>6351.4679999999998</v>
      </c>
    </row>
    <row r="860" spans="1:19" x14ac:dyDescent="0.3">
      <c r="A860">
        <v>200010076</v>
      </c>
      <c r="B860">
        <v>273712658</v>
      </c>
      <c r="C860" s="11">
        <v>46223</v>
      </c>
      <c r="D860" s="1">
        <v>874175385804</v>
      </c>
      <c r="E860">
        <v>4094929231</v>
      </c>
      <c r="F860" t="s">
        <v>24</v>
      </c>
      <c r="G860" s="12">
        <v>9.5</v>
      </c>
      <c r="H860">
        <v>67</v>
      </c>
      <c r="I860">
        <v>29</v>
      </c>
      <c r="J860">
        <v>28</v>
      </c>
      <c r="K860" s="12">
        <v>9.5</v>
      </c>
      <c r="L860" t="s">
        <v>20</v>
      </c>
      <c r="M860" s="3">
        <v>3414.5</v>
      </c>
      <c r="N860" s="3">
        <v>627</v>
      </c>
      <c r="O860"/>
      <c r="P860" s="3">
        <v>1545.9</v>
      </c>
      <c r="Q860" s="13">
        <f t="shared" si="39"/>
        <v>0.38250649511320056</v>
      </c>
      <c r="R860" s="14">
        <f t="shared" si="40"/>
        <v>5587.4</v>
      </c>
      <c r="S860" s="15">
        <f t="shared" si="41"/>
        <v>6593.1319999999996</v>
      </c>
    </row>
    <row r="861" spans="1:19" x14ac:dyDescent="0.3">
      <c r="A861">
        <v>200010076</v>
      </c>
      <c r="B861">
        <v>273712658</v>
      </c>
      <c r="C861" s="11">
        <v>46223</v>
      </c>
      <c r="D861" s="1">
        <v>874175397418</v>
      </c>
      <c r="E861">
        <v>41332</v>
      </c>
      <c r="F861" t="s">
        <v>24</v>
      </c>
      <c r="G861" s="12">
        <v>7</v>
      </c>
      <c r="H861">
        <v>66</v>
      </c>
      <c r="I861">
        <v>25</v>
      </c>
      <c r="J861">
        <v>24</v>
      </c>
      <c r="K861" s="12">
        <v>7</v>
      </c>
      <c r="L861" t="s">
        <v>20</v>
      </c>
      <c r="M861" s="3">
        <v>2839.2</v>
      </c>
      <c r="N861" s="3">
        <v>462</v>
      </c>
      <c r="O861"/>
      <c r="P861" s="3">
        <v>1262.7</v>
      </c>
      <c r="Q861" s="13">
        <f t="shared" si="39"/>
        <v>0.38249727371864778</v>
      </c>
      <c r="R861" s="14">
        <f t="shared" si="40"/>
        <v>4563.8999999999996</v>
      </c>
      <c r="S861" s="15">
        <f t="shared" si="41"/>
        <v>5385.4019999999991</v>
      </c>
    </row>
    <row r="862" spans="1:19" x14ac:dyDescent="0.3">
      <c r="A862">
        <v>200010076</v>
      </c>
      <c r="B862">
        <v>273712658</v>
      </c>
      <c r="C862" s="11">
        <v>46223</v>
      </c>
      <c r="D862" s="1">
        <v>874175397680</v>
      </c>
      <c r="E862">
        <v>40156</v>
      </c>
      <c r="F862" t="s">
        <v>24</v>
      </c>
      <c r="G862" s="12">
        <v>16</v>
      </c>
      <c r="H862">
        <v>66</v>
      </c>
      <c r="I862">
        <v>39</v>
      </c>
      <c r="J862">
        <v>37</v>
      </c>
      <c r="K862" s="12">
        <v>16</v>
      </c>
      <c r="L862" t="s">
        <v>20</v>
      </c>
      <c r="M862" s="3">
        <v>6452.6</v>
      </c>
      <c r="N862" s="3">
        <v>1056</v>
      </c>
      <c r="O862"/>
      <c r="P862" s="3">
        <v>2872</v>
      </c>
      <c r="Q862" s="13">
        <f t="shared" si="39"/>
        <v>0.38249473936552753</v>
      </c>
      <c r="R862" s="14">
        <f t="shared" si="40"/>
        <v>10380.6</v>
      </c>
      <c r="S862" s="15">
        <f t="shared" si="41"/>
        <v>12249.108</v>
      </c>
    </row>
    <row r="863" spans="1:19" x14ac:dyDescent="0.3">
      <c r="A863">
        <v>200010076</v>
      </c>
      <c r="B863">
        <v>273712658</v>
      </c>
      <c r="C863" s="11">
        <v>46223</v>
      </c>
      <c r="D863" s="1">
        <v>874175405692</v>
      </c>
      <c r="E863">
        <v>4090931744</v>
      </c>
      <c r="F863" t="s">
        <v>24</v>
      </c>
      <c r="G863" s="12">
        <v>2.09</v>
      </c>
      <c r="H863">
        <v>48</v>
      </c>
      <c r="I863">
        <v>21</v>
      </c>
      <c r="J863">
        <v>20</v>
      </c>
      <c r="K863" s="12">
        <v>3.4</v>
      </c>
      <c r="L863" t="s">
        <v>20</v>
      </c>
      <c r="M863" s="3">
        <v>1833.3</v>
      </c>
      <c r="N863" s="3">
        <v>231</v>
      </c>
      <c r="O863"/>
      <c r="P863" s="3">
        <v>789.6</v>
      </c>
      <c r="Q863" s="13">
        <f t="shared" si="39"/>
        <v>0.38250254323499489</v>
      </c>
      <c r="R863" s="14">
        <f t="shared" si="40"/>
        <v>2853.9</v>
      </c>
      <c r="S863" s="15">
        <f t="shared" si="41"/>
        <v>3367.6019999999999</v>
      </c>
    </row>
    <row r="864" spans="1:19" x14ac:dyDescent="0.3">
      <c r="A864">
        <v>200010076</v>
      </c>
      <c r="B864">
        <v>273712658</v>
      </c>
      <c r="C864" s="11">
        <v>46223</v>
      </c>
      <c r="D864" s="1">
        <v>874175418512</v>
      </c>
      <c r="E864">
        <v>40897</v>
      </c>
      <c r="F864" t="s">
        <v>24</v>
      </c>
      <c r="G864" s="12">
        <v>4.8499999999999996</v>
      </c>
      <c r="H864">
        <v>32</v>
      </c>
      <c r="I864">
        <v>28</v>
      </c>
      <c r="J864">
        <v>26</v>
      </c>
      <c r="K864" s="12">
        <v>4.9000000000000004</v>
      </c>
      <c r="L864" t="s">
        <v>20</v>
      </c>
      <c r="M864" s="3">
        <v>2231.6999999999998</v>
      </c>
      <c r="N864" s="3">
        <v>330</v>
      </c>
      <c r="O864"/>
      <c r="P864" s="3">
        <v>979.9</v>
      </c>
      <c r="Q864" s="13">
        <f t="shared" si="39"/>
        <v>0.3825194206971933</v>
      </c>
      <c r="R864" s="14">
        <f t="shared" si="40"/>
        <v>3541.6</v>
      </c>
      <c r="S864" s="15">
        <f t="shared" si="41"/>
        <v>4179.0879999999997</v>
      </c>
    </row>
    <row r="865" spans="1:19" x14ac:dyDescent="0.3">
      <c r="A865">
        <v>200010076</v>
      </c>
      <c r="B865">
        <v>273712658</v>
      </c>
      <c r="C865" s="11">
        <v>46223</v>
      </c>
      <c r="D865" s="1">
        <v>874175440753</v>
      </c>
      <c r="E865">
        <v>41309</v>
      </c>
      <c r="F865" t="s">
        <v>24</v>
      </c>
      <c r="G865" s="12">
        <v>5.5</v>
      </c>
      <c r="H865">
        <v>57</v>
      </c>
      <c r="I865">
        <v>23</v>
      </c>
      <c r="J865">
        <v>23</v>
      </c>
      <c r="K865" s="12">
        <v>5.5</v>
      </c>
      <c r="L865" t="s">
        <v>20</v>
      </c>
      <c r="M865" s="3">
        <v>2494</v>
      </c>
      <c r="N865" s="3">
        <v>363</v>
      </c>
      <c r="O865"/>
      <c r="P865" s="3">
        <v>1092.8</v>
      </c>
      <c r="Q865" s="13">
        <f t="shared" si="39"/>
        <v>0.38249912495624777</v>
      </c>
      <c r="R865" s="14">
        <f t="shared" si="40"/>
        <v>3949.8</v>
      </c>
      <c r="S865" s="15">
        <f t="shared" si="41"/>
        <v>4660.7640000000001</v>
      </c>
    </row>
    <row r="866" spans="1:19" x14ac:dyDescent="0.3">
      <c r="A866">
        <v>200010076</v>
      </c>
      <c r="B866">
        <v>273712658</v>
      </c>
      <c r="C866" s="11">
        <v>46223</v>
      </c>
      <c r="D866" s="1">
        <v>874175452985</v>
      </c>
      <c r="E866">
        <v>40513</v>
      </c>
      <c r="F866" t="s">
        <v>24</v>
      </c>
      <c r="G866" s="12">
        <v>11</v>
      </c>
      <c r="H866">
        <v>72</v>
      </c>
      <c r="I866">
        <v>30</v>
      </c>
      <c r="J866">
        <v>29</v>
      </c>
      <c r="K866" s="12">
        <v>11</v>
      </c>
      <c r="L866" t="s">
        <v>20</v>
      </c>
      <c r="M866" s="3">
        <v>4745.8</v>
      </c>
      <c r="N866" s="3">
        <v>726</v>
      </c>
      <c r="O866"/>
      <c r="P866" s="3">
        <v>2093</v>
      </c>
      <c r="Q866" s="13">
        <f t="shared" si="39"/>
        <v>0.38250667056544463</v>
      </c>
      <c r="R866" s="14">
        <f t="shared" si="40"/>
        <v>7564.8</v>
      </c>
      <c r="S866" s="15">
        <f t="shared" si="41"/>
        <v>8926.4639999999999</v>
      </c>
    </row>
    <row r="867" spans="1:19" x14ac:dyDescent="0.3">
      <c r="A867">
        <v>200010076</v>
      </c>
      <c r="B867">
        <v>273712658</v>
      </c>
      <c r="C867" s="11">
        <v>46223</v>
      </c>
      <c r="D867" s="1">
        <v>874175457428</v>
      </c>
      <c r="E867">
        <v>39813</v>
      </c>
      <c r="F867" t="s">
        <v>24</v>
      </c>
      <c r="G867" s="12">
        <v>3.27</v>
      </c>
      <c r="H867">
        <v>48</v>
      </c>
      <c r="I867">
        <v>23</v>
      </c>
      <c r="J867">
        <v>23</v>
      </c>
      <c r="K867" s="12">
        <v>4.2</v>
      </c>
      <c r="L867" t="s">
        <v>20</v>
      </c>
      <c r="M867" s="3">
        <v>2098.9</v>
      </c>
      <c r="N867" s="3">
        <v>297</v>
      </c>
      <c r="O867"/>
      <c r="P867" s="3">
        <v>916.4</v>
      </c>
      <c r="Q867" s="13">
        <f t="shared" si="39"/>
        <v>0.3824867481948328</v>
      </c>
      <c r="R867" s="14">
        <f t="shared" si="40"/>
        <v>3312.3</v>
      </c>
      <c r="S867" s="15">
        <f t="shared" si="41"/>
        <v>3908.5140000000001</v>
      </c>
    </row>
    <row r="868" spans="1:19" x14ac:dyDescent="0.3">
      <c r="A868">
        <v>200010076</v>
      </c>
      <c r="B868">
        <v>273712658</v>
      </c>
      <c r="C868" s="11">
        <v>46223</v>
      </c>
      <c r="D868" s="1">
        <v>874175476103</v>
      </c>
      <c r="E868">
        <v>40617</v>
      </c>
      <c r="F868" t="s">
        <v>24</v>
      </c>
      <c r="G868" s="12">
        <v>6</v>
      </c>
      <c r="H868">
        <v>61</v>
      </c>
      <c r="I868">
        <v>24</v>
      </c>
      <c r="J868">
        <v>23</v>
      </c>
      <c r="K868" s="12">
        <v>6</v>
      </c>
      <c r="L868" t="s">
        <v>20</v>
      </c>
      <c r="M868" s="3">
        <v>2609.1</v>
      </c>
      <c r="N868" s="3">
        <v>396</v>
      </c>
      <c r="O868"/>
      <c r="P868" s="3">
        <v>1149.5</v>
      </c>
      <c r="Q868" s="13">
        <f t="shared" si="39"/>
        <v>0.38251638880569699</v>
      </c>
      <c r="R868" s="14">
        <f t="shared" si="40"/>
        <v>4154.6000000000004</v>
      </c>
      <c r="S868" s="15">
        <f t="shared" si="41"/>
        <v>4902.4279999999999</v>
      </c>
    </row>
    <row r="869" spans="1:19" x14ac:dyDescent="0.3">
      <c r="A869">
        <v>200010076</v>
      </c>
      <c r="B869">
        <v>273712658</v>
      </c>
      <c r="C869" s="11">
        <v>46223</v>
      </c>
      <c r="D869" s="1">
        <v>874175479617</v>
      </c>
      <c r="E869">
        <v>40429</v>
      </c>
      <c r="F869" t="s">
        <v>24</v>
      </c>
      <c r="G869" s="12">
        <v>8.5</v>
      </c>
      <c r="H869">
        <v>66</v>
      </c>
      <c r="I869">
        <v>51</v>
      </c>
      <c r="J869">
        <v>28</v>
      </c>
      <c r="K869" s="12">
        <v>15.6</v>
      </c>
      <c r="L869" t="s">
        <v>20</v>
      </c>
      <c r="M869" s="3">
        <v>6452.6</v>
      </c>
      <c r="N869" s="3">
        <v>1056</v>
      </c>
      <c r="O869"/>
      <c r="P869" s="3">
        <v>2872</v>
      </c>
      <c r="Q869" s="13">
        <f t="shared" si="39"/>
        <v>0.38249473936552753</v>
      </c>
      <c r="R869" s="14">
        <f t="shared" si="40"/>
        <v>10380.6</v>
      </c>
      <c r="S869" s="15">
        <f t="shared" si="41"/>
        <v>12249.108</v>
      </c>
    </row>
    <row r="870" spans="1:19" x14ac:dyDescent="0.3">
      <c r="A870">
        <v>200010076</v>
      </c>
      <c r="B870">
        <v>273712658</v>
      </c>
      <c r="C870" s="11">
        <v>46223</v>
      </c>
      <c r="D870" s="1">
        <v>874175485255</v>
      </c>
      <c r="E870">
        <v>40113</v>
      </c>
      <c r="F870" t="s">
        <v>24</v>
      </c>
      <c r="G870" s="12">
        <v>6</v>
      </c>
      <c r="H870">
        <v>74</v>
      </c>
      <c r="I870">
        <v>23</v>
      </c>
      <c r="J870">
        <v>20</v>
      </c>
      <c r="K870" s="12">
        <v>6</v>
      </c>
      <c r="L870" t="s">
        <v>20</v>
      </c>
      <c r="M870" s="3">
        <v>2609.1</v>
      </c>
      <c r="N870" s="3">
        <v>396</v>
      </c>
      <c r="O870"/>
      <c r="P870" s="3">
        <v>1149.5</v>
      </c>
      <c r="Q870" s="13">
        <f t="shared" si="39"/>
        <v>0.38251638880569699</v>
      </c>
      <c r="R870" s="14">
        <f t="shared" si="40"/>
        <v>4154.6000000000004</v>
      </c>
      <c r="S870" s="15">
        <f t="shared" si="41"/>
        <v>4902.4279999999999</v>
      </c>
    </row>
    <row r="871" spans="1:19" x14ac:dyDescent="0.3">
      <c r="A871">
        <v>200010076</v>
      </c>
      <c r="B871">
        <v>273712658</v>
      </c>
      <c r="C871" s="11">
        <v>46223</v>
      </c>
      <c r="D871" s="1">
        <v>874175490677</v>
      </c>
      <c r="E871">
        <v>39083</v>
      </c>
      <c r="F871" t="s">
        <v>24</v>
      </c>
      <c r="G871" s="12">
        <v>8.5</v>
      </c>
      <c r="H871">
        <v>67</v>
      </c>
      <c r="I871">
        <v>27</v>
      </c>
      <c r="J871">
        <v>26</v>
      </c>
      <c r="K871" s="12">
        <v>8.5</v>
      </c>
      <c r="L871" t="s">
        <v>20</v>
      </c>
      <c r="M871" s="3">
        <v>3184.4</v>
      </c>
      <c r="N871" s="3">
        <v>561</v>
      </c>
      <c r="O871"/>
      <c r="P871" s="3">
        <v>1432.6</v>
      </c>
      <c r="Q871" s="13">
        <f t="shared" si="39"/>
        <v>0.38249586159021731</v>
      </c>
      <c r="R871" s="14">
        <f t="shared" si="40"/>
        <v>5178</v>
      </c>
      <c r="S871" s="15">
        <f t="shared" si="41"/>
        <v>6110.04</v>
      </c>
    </row>
    <row r="872" spans="1:19" x14ac:dyDescent="0.3">
      <c r="A872">
        <v>200010076</v>
      </c>
      <c r="B872">
        <v>273712658</v>
      </c>
      <c r="C872" s="11">
        <v>46223</v>
      </c>
      <c r="D872" s="1">
        <v>874175498174</v>
      </c>
      <c r="E872">
        <v>42060</v>
      </c>
      <c r="F872" t="s">
        <v>24</v>
      </c>
      <c r="G872" s="12">
        <v>1.5</v>
      </c>
      <c r="H872">
        <v>40</v>
      </c>
      <c r="I872">
        <v>14</v>
      </c>
      <c r="J872">
        <v>13</v>
      </c>
      <c r="K872" s="12">
        <v>1.5</v>
      </c>
      <c r="L872" t="s">
        <v>20</v>
      </c>
      <c r="M872" s="3">
        <v>1353.7</v>
      </c>
      <c r="N872" s="3">
        <v>99</v>
      </c>
      <c r="O872"/>
      <c r="P872" s="3">
        <v>555.70000000000005</v>
      </c>
      <c r="Q872" s="13">
        <f t="shared" si="39"/>
        <v>0.38252908377503958</v>
      </c>
      <c r="R872" s="14">
        <f t="shared" si="40"/>
        <v>2008.4</v>
      </c>
      <c r="S872" s="15">
        <f t="shared" si="41"/>
        <v>2369.9119999999998</v>
      </c>
    </row>
    <row r="873" spans="1:19" x14ac:dyDescent="0.3">
      <c r="A873">
        <v>200010076</v>
      </c>
      <c r="B873">
        <v>273712658</v>
      </c>
      <c r="C873" s="11">
        <v>46223</v>
      </c>
      <c r="D873" s="1">
        <v>874175503924</v>
      </c>
      <c r="E873">
        <v>40101</v>
      </c>
      <c r="F873" t="s">
        <v>24</v>
      </c>
      <c r="G873" s="12">
        <v>13.5</v>
      </c>
      <c r="H873">
        <v>116</v>
      </c>
      <c r="I873">
        <v>26</v>
      </c>
      <c r="J873">
        <v>26</v>
      </c>
      <c r="K873" s="12">
        <v>13.5</v>
      </c>
      <c r="L873" t="s">
        <v>20</v>
      </c>
      <c r="M873" s="3">
        <v>5893</v>
      </c>
      <c r="N873" s="3">
        <v>891</v>
      </c>
      <c r="O873"/>
      <c r="P873" s="3">
        <v>2594.9</v>
      </c>
      <c r="Q873" s="13">
        <f t="shared" si="39"/>
        <v>0.38250294811320756</v>
      </c>
      <c r="R873" s="14">
        <f t="shared" si="40"/>
        <v>9378.9</v>
      </c>
      <c r="S873" s="15">
        <f t="shared" si="41"/>
        <v>11067.101999999999</v>
      </c>
    </row>
    <row r="874" spans="1:19" x14ac:dyDescent="0.3">
      <c r="A874">
        <v>200010076</v>
      </c>
      <c r="B874">
        <v>273712658</v>
      </c>
      <c r="C874" s="11">
        <v>46223</v>
      </c>
      <c r="D874" s="1">
        <v>874175508915</v>
      </c>
      <c r="E874">
        <v>39413</v>
      </c>
      <c r="F874" t="s">
        <v>24</v>
      </c>
      <c r="G874" s="12">
        <v>8.5</v>
      </c>
      <c r="H874">
        <v>64</v>
      </c>
      <c r="I874">
        <v>29</v>
      </c>
      <c r="J874">
        <v>27</v>
      </c>
      <c r="K874" s="12">
        <v>8.5</v>
      </c>
      <c r="L874" t="s">
        <v>20</v>
      </c>
      <c r="M874" s="3">
        <v>3184.4</v>
      </c>
      <c r="N874" s="3">
        <v>561</v>
      </c>
      <c r="O874"/>
      <c r="P874" s="3">
        <v>1432.6</v>
      </c>
      <c r="Q874" s="13">
        <f t="shared" si="39"/>
        <v>0.38249586159021731</v>
      </c>
      <c r="R874" s="14">
        <f t="shared" si="40"/>
        <v>5178</v>
      </c>
      <c r="S874" s="15">
        <f t="shared" si="41"/>
        <v>6110.04</v>
      </c>
    </row>
    <row r="875" spans="1:19" x14ac:dyDescent="0.3">
      <c r="A875">
        <v>200010076</v>
      </c>
      <c r="B875">
        <v>273712658</v>
      </c>
      <c r="C875" s="11">
        <v>46223</v>
      </c>
      <c r="D875" s="1">
        <v>874175508948</v>
      </c>
      <c r="E875">
        <v>41604</v>
      </c>
      <c r="F875" t="s">
        <v>24</v>
      </c>
      <c r="G875" s="12">
        <v>4.5</v>
      </c>
      <c r="H875">
        <v>45</v>
      </c>
      <c r="I875">
        <v>25</v>
      </c>
      <c r="J875">
        <v>23</v>
      </c>
      <c r="K875" s="12">
        <v>4.5</v>
      </c>
      <c r="L875" t="s">
        <v>20</v>
      </c>
      <c r="M875" s="3">
        <v>2098.9</v>
      </c>
      <c r="N875" s="3">
        <v>297</v>
      </c>
      <c r="O875"/>
      <c r="P875" s="3">
        <v>916.4</v>
      </c>
      <c r="Q875" s="13">
        <f t="shared" si="39"/>
        <v>0.3824867481948328</v>
      </c>
      <c r="R875" s="14">
        <f t="shared" si="40"/>
        <v>3312.3</v>
      </c>
      <c r="S875" s="15">
        <f t="shared" si="41"/>
        <v>3908.5140000000001</v>
      </c>
    </row>
    <row r="876" spans="1:19" x14ac:dyDescent="0.3">
      <c r="A876">
        <v>200010076</v>
      </c>
      <c r="B876">
        <v>273712658</v>
      </c>
      <c r="C876" s="11">
        <v>46223</v>
      </c>
      <c r="D876" s="1">
        <v>874175530387</v>
      </c>
      <c r="E876">
        <v>4095294839</v>
      </c>
      <c r="F876" t="s">
        <v>24</v>
      </c>
      <c r="G876" s="12">
        <v>4.5</v>
      </c>
      <c r="H876">
        <v>48</v>
      </c>
      <c r="I876">
        <v>23</v>
      </c>
      <c r="J876">
        <v>22</v>
      </c>
      <c r="K876" s="12">
        <v>4.5</v>
      </c>
      <c r="L876" t="s">
        <v>20</v>
      </c>
      <c r="M876" s="3">
        <v>2098.9</v>
      </c>
      <c r="N876" s="3">
        <v>297</v>
      </c>
      <c r="O876"/>
      <c r="P876" s="3">
        <v>916.4</v>
      </c>
      <c r="Q876" s="13">
        <f t="shared" ref="Q876:Q885" si="42">+P876/SUM(M876:O876)</f>
        <v>0.3824867481948328</v>
      </c>
      <c r="R876" s="14">
        <f t="shared" ref="R876:R885" si="43">SUM(M876:P876)</f>
        <v>3312.3</v>
      </c>
      <c r="S876" s="15">
        <f t="shared" ref="S876:S885" si="44">+R876*1.18</f>
        <v>3908.5140000000001</v>
      </c>
    </row>
    <row r="877" spans="1:19" x14ac:dyDescent="0.3">
      <c r="A877">
        <v>200010076</v>
      </c>
      <c r="B877">
        <v>273712658</v>
      </c>
      <c r="C877" s="11">
        <v>46223</v>
      </c>
      <c r="D877" s="1">
        <v>874175545600</v>
      </c>
      <c r="E877">
        <v>41445</v>
      </c>
      <c r="F877" t="s">
        <v>24</v>
      </c>
      <c r="G877" s="12">
        <v>2.1800000000000002</v>
      </c>
      <c r="H877">
        <v>45</v>
      </c>
      <c r="I877">
        <v>21</v>
      </c>
      <c r="J877">
        <v>19</v>
      </c>
      <c r="K877" s="12">
        <v>3</v>
      </c>
      <c r="L877" t="s">
        <v>20</v>
      </c>
      <c r="M877" s="3">
        <v>1700.6</v>
      </c>
      <c r="N877" s="3">
        <v>198</v>
      </c>
      <c r="O877"/>
      <c r="P877" s="3">
        <v>726.2</v>
      </c>
      <c r="Q877" s="13">
        <f t="shared" si="42"/>
        <v>0.38249236279363746</v>
      </c>
      <c r="R877" s="14">
        <f t="shared" si="43"/>
        <v>2624.8</v>
      </c>
      <c r="S877" s="15">
        <f t="shared" si="44"/>
        <v>3097.2640000000001</v>
      </c>
    </row>
    <row r="878" spans="1:19" x14ac:dyDescent="0.3">
      <c r="A878">
        <v>200010076</v>
      </c>
      <c r="B878">
        <v>273712658</v>
      </c>
      <c r="C878" s="11">
        <v>46223</v>
      </c>
      <c r="D878" s="1">
        <v>874175588350</v>
      </c>
      <c r="E878">
        <v>39746</v>
      </c>
      <c r="F878" t="s">
        <v>24</v>
      </c>
      <c r="G878" s="12">
        <v>10</v>
      </c>
      <c r="H878">
        <v>78</v>
      </c>
      <c r="I878">
        <v>28</v>
      </c>
      <c r="J878">
        <v>26</v>
      </c>
      <c r="K878" s="12">
        <v>10</v>
      </c>
      <c r="L878" t="s">
        <v>20</v>
      </c>
      <c r="M878" s="3">
        <v>3529.5</v>
      </c>
      <c r="N878" s="3">
        <v>660</v>
      </c>
      <c r="O878"/>
      <c r="P878" s="3">
        <v>1602.5</v>
      </c>
      <c r="Q878" s="13">
        <f t="shared" si="42"/>
        <v>0.38250387874448027</v>
      </c>
      <c r="R878" s="14">
        <f t="shared" si="43"/>
        <v>5792</v>
      </c>
      <c r="S878" s="15">
        <f t="shared" si="44"/>
        <v>6834.5599999999995</v>
      </c>
    </row>
    <row r="879" spans="1:19" x14ac:dyDescent="0.3">
      <c r="A879">
        <v>200010076</v>
      </c>
      <c r="B879">
        <v>273712658</v>
      </c>
      <c r="C879" s="11">
        <v>46223</v>
      </c>
      <c r="D879" s="1">
        <v>874228213019</v>
      </c>
      <c r="E879">
        <v>4061539040</v>
      </c>
      <c r="F879" t="s">
        <v>25</v>
      </c>
      <c r="G879" s="12">
        <v>10</v>
      </c>
      <c r="H879">
        <v>157</v>
      </c>
      <c r="I879">
        <v>81</v>
      </c>
      <c r="J879">
        <v>30</v>
      </c>
      <c r="K879" s="12">
        <v>65.099999999999994</v>
      </c>
      <c r="L879" t="s">
        <v>20</v>
      </c>
      <c r="M879" s="3">
        <v>27342.5</v>
      </c>
      <c r="N879" s="3">
        <v>4323</v>
      </c>
      <c r="O879">
        <v>2644</v>
      </c>
      <c r="P879" s="3">
        <v>13123.4</v>
      </c>
      <c r="Q879" s="13">
        <f t="shared" si="42"/>
        <v>0.3825004736297527</v>
      </c>
      <c r="R879" s="14">
        <f t="shared" si="43"/>
        <v>47432.9</v>
      </c>
      <c r="S879" s="15">
        <f t="shared" si="44"/>
        <v>55970.822</v>
      </c>
    </row>
    <row r="880" spans="1:19" x14ac:dyDescent="0.3">
      <c r="A880">
        <v>200010076</v>
      </c>
      <c r="B880">
        <v>273712658</v>
      </c>
      <c r="C880" s="11">
        <v>46223</v>
      </c>
      <c r="D880" s="1">
        <v>874228213317</v>
      </c>
      <c r="E880">
        <v>4099119979</v>
      </c>
      <c r="F880" t="s">
        <v>25</v>
      </c>
      <c r="G880" s="12">
        <v>30</v>
      </c>
      <c r="H880">
        <v>68</v>
      </c>
      <c r="I880">
        <v>37</v>
      </c>
      <c r="J880">
        <v>37</v>
      </c>
      <c r="K880" s="12">
        <v>29.7</v>
      </c>
      <c r="L880" t="s">
        <v>20</v>
      </c>
      <c r="M880" s="3">
        <v>11810.4</v>
      </c>
      <c r="N880" s="3">
        <v>1980</v>
      </c>
      <c r="O880"/>
      <c r="P880" s="3">
        <v>5274.8</v>
      </c>
      <c r="Q880" s="13">
        <f t="shared" si="42"/>
        <v>0.38249796960204202</v>
      </c>
      <c r="R880" s="14">
        <f t="shared" si="43"/>
        <v>19065.2</v>
      </c>
      <c r="S880" s="15">
        <f t="shared" si="44"/>
        <v>22496.935999999998</v>
      </c>
    </row>
    <row r="881" spans="1:19" x14ac:dyDescent="0.3">
      <c r="A881">
        <v>200010076</v>
      </c>
      <c r="B881">
        <v>273712658</v>
      </c>
      <c r="C881" s="11">
        <v>46223</v>
      </c>
      <c r="D881" s="1">
        <v>874257260731</v>
      </c>
      <c r="E881">
        <v>40494</v>
      </c>
      <c r="F881" t="s">
        <v>25</v>
      </c>
      <c r="G881" s="12">
        <v>27.5</v>
      </c>
      <c r="H881">
        <v>67</v>
      </c>
      <c r="I881">
        <v>31</v>
      </c>
      <c r="J881">
        <v>30</v>
      </c>
      <c r="K881" s="12">
        <v>27.3</v>
      </c>
      <c r="L881" t="s">
        <v>20</v>
      </c>
      <c r="M881" s="3">
        <v>10856.2</v>
      </c>
      <c r="N881" s="3">
        <v>1815</v>
      </c>
      <c r="O881"/>
      <c r="P881" s="3">
        <v>4846.7</v>
      </c>
      <c r="Q881" s="13">
        <f t="shared" si="42"/>
        <v>0.38249731674979476</v>
      </c>
      <c r="R881" s="14">
        <f t="shared" si="43"/>
        <v>17517.900000000001</v>
      </c>
      <c r="S881" s="15">
        <f t="shared" si="44"/>
        <v>20671.121999999999</v>
      </c>
    </row>
    <row r="882" spans="1:19" x14ac:dyDescent="0.3">
      <c r="A882">
        <v>200010076</v>
      </c>
      <c r="B882">
        <v>273715041</v>
      </c>
      <c r="C882" s="11">
        <v>46230</v>
      </c>
      <c r="D882" s="1">
        <v>874412388347</v>
      </c>
      <c r="E882" t="s">
        <v>40</v>
      </c>
      <c r="F882" s="11">
        <v>46218</v>
      </c>
      <c r="G882" s="12">
        <v>41.28</v>
      </c>
      <c r="H882">
        <v>69</v>
      </c>
      <c r="I882">
        <v>48</v>
      </c>
      <c r="J882">
        <v>43</v>
      </c>
      <c r="K882" s="12">
        <v>41.28</v>
      </c>
      <c r="L882" t="s">
        <v>20</v>
      </c>
      <c r="M882" s="2">
        <v>35901.1</v>
      </c>
      <c r="N882" s="2">
        <v>1950.5</v>
      </c>
      <c r="O882" s="2">
        <v>2235</v>
      </c>
      <c r="P882" s="2">
        <v>15433.4</v>
      </c>
      <c r="Q882" s="13">
        <f t="shared" si="42"/>
        <v>0.38500147181352373</v>
      </c>
      <c r="R882" s="14">
        <f t="shared" si="43"/>
        <v>55520</v>
      </c>
      <c r="S882" s="15">
        <f t="shared" si="44"/>
        <v>65513.599999999999</v>
      </c>
    </row>
    <row r="883" spans="1:19" x14ac:dyDescent="0.3">
      <c r="A883">
        <v>200010076</v>
      </c>
      <c r="B883">
        <v>273712659</v>
      </c>
      <c r="C883" s="11">
        <v>46223</v>
      </c>
      <c r="D883" s="1">
        <v>873193122071</v>
      </c>
      <c r="F883" s="11">
        <v>46191</v>
      </c>
      <c r="G883" s="12">
        <v>552</v>
      </c>
      <c r="H883">
        <v>156</v>
      </c>
      <c r="I883">
        <v>110</v>
      </c>
      <c r="J883">
        <v>100</v>
      </c>
      <c r="K883" s="12">
        <v>618</v>
      </c>
      <c r="L883" t="s">
        <v>20</v>
      </c>
      <c r="M883" s="2">
        <v>46514.9</v>
      </c>
      <c r="P883" s="2">
        <v>20001.400000000001</v>
      </c>
      <c r="Q883" s="13">
        <f t="shared" si="42"/>
        <v>0.42999984951058695</v>
      </c>
      <c r="R883" s="14">
        <f t="shared" si="43"/>
        <v>66516.3</v>
      </c>
      <c r="S883" s="15">
        <f t="shared" si="44"/>
        <v>78489.233999999997</v>
      </c>
    </row>
    <row r="884" spans="1:19" x14ac:dyDescent="0.3">
      <c r="A884">
        <v>200010076</v>
      </c>
      <c r="B884">
        <v>273712659</v>
      </c>
      <c r="C884" s="11">
        <v>46223</v>
      </c>
      <c r="D884" s="1">
        <v>873932456972</v>
      </c>
      <c r="E884" s="1">
        <v>873623033419</v>
      </c>
      <c r="F884" s="11">
        <v>46206</v>
      </c>
      <c r="G884" s="12">
        <v>3.5</v>
      </c>
      <c r="K884" s="12">
        <v>3.5</v>
      </c>
      <c r="L884" t="s">
        <v>20</v>
      </c>
      <c r="M884" s="2">
        <v>4896.1000000000004</v>
      </c>
      <c r="N884" s="2">
        <v>164.5</v>
      </c>
      <c r="P884" s="2">
        <v>1948.3</v>
      </c>
      <c r="Q884" s="13">
        <f t="shared" si="42"/>
        <v>0.38499387424416076</v>
      </c>
      <c r="R884" s="14">
        <f t="shared" si="43"/>
        <v>7008.9000000000005</v>
      </c>
      <c r="S884" s="15">
        <f t="shared" si="44"/>
        <v>8270.5020000000004</v>
      </c>
    </row>
    <row r="885" spans="1:19" x14ac:dyDescent="0.3">
      <c r="A885">
        <v>200010076</v>
      </c>
      <c r="B885">
        <v>273712660</v>
      </c>
      <c r="C885" s="11">
        <v>46223</v>
      </c>
      <c r="D885" s="1">
        <v>874210748346</v>
      </c>
      <c r="E885">
        <v>87417545742</v>
      </c>
      <c r="F885" s="11">
        <v>46217</v>
      </c>
      <c r="G885" s="12">
        <v>1.81</v>
      </c>
      <c r="K885" s="12">
        <v>1.81</v>
      </c>
      <c r="L885" t="s">
        <v>20</v>
      </c>
      <c r="M885" s="2">
        <v>12397.2</v>
      </c>
      <c r="O885" s="2">
        <f>1018.2+3215.5+677.2</f>
        <v>4910.8999999999996</v>
      </c>
      <c r="P885" s="2">
        <v>4073</v>
      </c>
      <c r="Q885" s="13">
        <f t="shared" si="42"/>
        <v>0.23532334571674535</v>
      </c>
      <c r="R885" s="14">
        <f t="shared" si="43"/>
        <v>21381.1</v>
      </c>
      <c r="S885" s="15">
        <f t="shared" si="44"/>
        <v>25229.697999999997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Absolute Finance Team</dc:creator>
  <cp:lastModifiedBy>Absolute Finance Team</cp:lastModifiedBy>
  <dcterms:created xsi:type="dcterms:W3CDTF">2026-08-11T07:03:53Z</dcterms:created>
  <dcterms:modified xsi:type="dcterms:W3CDTF">2026-08-11T07:19:33Z</dcterms:modified>
</cp:coreProperties>
</file>