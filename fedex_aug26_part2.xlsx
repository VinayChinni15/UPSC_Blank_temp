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solutefinanceindia-my.sharepoint.com/personal/team_absolutefinance_in/Documents/CozyCornerPatios/FAM/Fabrics/FEDEX/2026/08 Aug 26/"/>
    </mc:Choice>
  </mc:AlternateContent>
  <xr:revisionPtr revIDLastSave="3" documentId="8_{E9E100DA-1708-4453-8A9C-EA37D27BBFF0}" xr6:coauthVersionLast="47" xr6:coauthVersionMax="47" xr10:uidLastSave="{65D313FC-8DD8-4765-A088-7F44D58225CE}"/>
  <bookViews>
    <workbookView xWindow="-108" yWindow="-108" windowWidth="23256" windowHeight="12456" xr2:uid="{050696E9-CDDD-47C0-B407-5D37B945BC1B}"/>
  </bookViews>
  <sheets>
    <sheet name="Data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67" i="1" l="1"/>
  <c r="S567" i="1" s="1"/>
  <c r="R566" i="1"/>
  <c r="S566" i="1" s="1"/>
  <c r="R565" i="1"/>
  <c r="S565" i="1" s="1"/>
  <c r="R564" i="1"/>
  <c r="S564" i="1" s="1"/>
  <c r="R563" i="1"/>
  <c r="S563" i="1" s="1"/>
  <c r="R562" i="1"/>
  <c r="S562" i="1" s="1"/>
  <c r="R561" i="1"/>
  <c r="S561" i="1" s="1"/>
  <c r="R560" i="1"/>
  <c r="S560" i="1" s="1"/>
  <c r="R559" i="1"/>
  <c r="S559" i="1" s="1"/>
  <c r="R558" i="1"/>
  <c r="S558" i="1" s="1"/>
  <c r="R557" i="1"/>
  <c r="S557" i="1" s="1"/>
  <c r="R556" i="1"/>
  <c r="S556" i="1" s="1"/>
  <c r="R555" i="1"/>
  <c r="S555" i="1" s="1"/>
  <c r="R554" i="1"/>
  <c r="S554" i="1" s="1"/>
  <c r="R553" i="1"/>
  <c r="S553" i="1" s="1"/>
  <c r="S552" i="1"/>
  <c r="R552" i="1"/>
  <c r="R551" i="1"/>
  <c r="S551" i="1" s="1"/>
  <c r="R550" i="1"/>
  <c r="S550" i="1" s="1"/>
  <c r="R549" i="1"/>
  <c r="S549" i="1" s="1"/>
  <c r="R548" i="1"/>
  <c r="S548" i="1" s="1"/>
  <c r="R547" i="1"/>
  <c r="S547" i="1" s="1"/>
  <c r="R546" i="1"/>
  <c r="S546" i="1" s="1"/>
  <c r="R545" i="1"/>
  <c r="S545" i="1" s="1"/>
  <c r="R544" i="1"/>
  <c r="S544" i="1" s="1"/>
  <c r="R543" i="1"/>
  <c r="S543" i="1" s="1"/>
  <c r="R542" i="1"/>
  <c r="S542" i="1" s="1"/>
  <c r="R541" i="1"/>
  <c r="S541" i="1" s="1"/>
  <c r="R540" i="1"/>
  <c r="S540" i="1" s="1"/>
  <c r="R539" i="1"/>
  <c r="S539" i="1" s="1"/>
  <c r="R538" i="1"/>
  <c r="S538" i="1" s="1"/>
  <c r="R537" i="1"/>
  <c r="S537" i="1" s="1"/>
  <c r="R536" i="1"/>
  <c r="S536" i="1" s="1"/>
  <c r="R535" i="1"/>
  <c r="S535" i="1" s="1"/>
  <c r="R534" i="1"/>
  <c r="S534" i="1" s="1"/>
  <c r="R533" i="1"/>
  <c r="S533" i="1" s="1"/>
  <c r="R532" i="1"/>
  <c r="S532" i="1" s="1"/>
  <c r="R531" i="1"/>
  <c r="S531" i="1" s="1"/>
  <c r="R530" i="1"/>
  <c r="S530" i="1" s="1"/>
  <c r="R529" i="1"/>
  <c r="S529" i="1" s="1"/>
  <c r="R528" i="1"/>
  <c r="S528" i="1" s="1"/>
  <c r="R527" i="1"/>
  <c r="S527" i="1" s="1"/>
  <c r="R526" i="1"/>
  <c r="S526" i="1" s="1"/>
  <c r="R525" i="1"/>
  <c r="S525" i="1" s="1"/>
  <c r="R524" i="1"/>
  <c r="S524" i="1" s="1"/>
  <c r="R523" i="1"/>
  <c r="S523" i="1" s="1"/>
  <c r="R522" i="1"/>
  <c r="S522" i="1" s="1"/>
  <c r="R521" i="1"/>
  <c r="S521" i="1" s="1"/>
  <c r="R520" i="1"/>
  <c r="S520" i="1" s="1"/>
  <c r="R519" i="1"/>
  <c r="S519" i="1" s="1"/>
  <c r="R518" i="1"/>
  <c r="S518" i="1" s="1"/>
  <c r="R517" i="1"/>
  <c r="S517" i="1" s="1"/>
  <c r="R516" i="1"/>
  <c r="S516" i="1" s="1"/>
  <c r="R515" i="1"/>
  <c r="S515" i="1" s="1"/>
  <c r="R514" i="1"/>
  <c r="S514" i="1" s="1"/>
  <c r="R513" i="1"/>
  <c r="S513" i="1" s="1"/>
  <c r="R512" i="1"/>
  <c r="S512" i="1" s="1"/>
  <c r="R511" i="1"/>
  <c r="S511" i="1" s="1"/>
  <c r="R510" i="1"/>
  <c r="S510" i="1" s="1"/>
  <c r="R509" i="1"/>
  <c r="S509" i="1" s="1"/>
  <c r="R508" i="1"/>
  <c r="S508" i="1" s="1"/>
  <c r="R507" i="1"/>
  <c r="S507" i="1" s="1"/>
  <c r="R506" i="1"/>
  <c r="S506" i="1" s="1"/>
  <c r="R505" i="1"/>
  <c r="S505" i="1" s="1"/>
  <c r="R504" i="1"/>
  <c r="S504" i="1" s="1"/>
  <c r="R503" i="1"/>
  <c r="S503" i="1" s="1"/>
  <c r="R502" i="1"/>
  <c r="S502" i="1" s="1"/>
  <c r="R501" i="1"/>
  <c r="S501" i="1" s="1"/>
  <c r="R500" i="1"/>
  <c r="S500" i="1" s="1"/>
  <c r="R499" i="1"/>
  <c r="S499" i="1" s="1"/>
  <c r="R498" i="1"/>
  <c r="S498" i="1" s="1"/>
  <c r="R497" i="1"/>
  <c r="S497" i="1" s="1"/>
  <c r="R496" i="1"/>
  <c r="S496" i="1" s="1"/>
  <c r="R495" i="1"/>
  <c r="S495" i="1" s="1"/>
  <c r="R494" i="1"/>
  <c r="S494" i="1" s="1"/>
  <c r="R493" i="1"/>
  <c r="S493" i="1" s="1"/>
  <c r="R492" i="1"/>
  <c r="S492" i="1" s="1"/>
  <c r="R491" i="1"/>
  <c r="S491" i="1" s="1"/>
  <c r="R490" i="1"/>
  <c r="S490" i="1" s="1"/>
  <c r="R489" i="1"/>
  <c r="S489" i="1" s="1"/>
  <c r="R488" i="1"/>
  <c r="S488" i="1" s="1"/>
  <c r="R487" i="1"/>
  <c r="S487" i="1" s="1"/>
  <c r="R486" i="1"/>
  <c r="S486" i="1" s="1"/>
  <c r="R485" i="1"/>
  <c r="S485" i="1" s="1"/>
  <c r="R484" i="1"/>
  <c r="S484" i="1" s="1"/>
  <c r="R483" i="1"/>
  <c r="S483" i="1" s="1"/>
  <c r="R482" i="1"/>
  <c r="S482" i="1" s="1"/>
  <c r="R481" i="1"/>
  <c r="S481" i="1" s="1"/>
  <c r="R480" i="1"/>
  <c r="S480" i="1" s="1"/>
  <c r="R479" i="1"/>
  <c r="S479" i="1" s="1"/>
  <c r="R478" i="1"/>
  <c r="S478" i="1" s="1"/>
  <c r="R477" i="1"/>
  <c r="S477" i="1" s="1"/>
  <c r="R476" i="1"/>
  <c r="S476" i="1" s="1"/>
  <c r="R475" i="1"/>
  <c r="S475" i="1" s="1"/>
  <c r="R474" i="1"/>
  <c r="S474" i="1" s="1"/>
  <c r="R473" i="1"/>
  <c r="S473" i="1" s="1"/>
  <c r="R472" i="1"/>
  <c r="S472" i="1" s="1"/>
  <c r="R471" i="1"/>
  <c r="S471" i="1" s="1"/>
  <c r="R470" i="1"/>
  <c r="S470" i="1" s="1"/>
  <c r="R469" i="1"/>
  <c r="S469" i="1" s="1"/>
  <c r="R468" i="1"/>
  <c r="S468" i="1" s="1"/>
  <c r="R467" i="1"/>
  <c r="S467" i="1" s="1"/>
  <c r="R466" i="1"/>
  <c r="S466" i="1" s="1"/>
  <c r="R465" i="1"/>
  <c r="S465" i="1" s="1"/>
  <c r="R464" i="1"/>
  <c r="S464" i="1" s="1"/>
  <c r="R463" i="1"/>
  <c r="S463" i="1" s="1"/>
  <c r="R462" i="1"/>
  <c r="S462" i="1" s="1"/>
  <c r="R461" i="1"/>
  <c r="S461" i="1" s="1"/>
  <c r="R460" i="1"/>
  <c r="S460" i="1" s="1"/>
  <c r="R459" i="1"/>
  <c r="S459" i="1" s="1"/>
  <c r="R458" i="1"/>
  <c r="S458" i="1" s="1"/>
  <c r="R457" i="1"/>
  <c r="S457" i="1" s="1"/>
  <c r="R456" i="1"/>
  <c r="S456" i="1" s="1"/>
  <c r="R455" i="1"/>
  <c r="S455" i="1" s="1"/>
  <c r="R454" i="1"/>
  <c r="S454" i="1" s="1"/>
  <c r="R453" i="1"/>
  <c r="S453" i="1" s="1"/>
  <c r="R452" i="1"/>
  <c r="S452" i="1" s="1"/>
  <c r="R451" i="1"/>
  <c r="S451" i="1" s="1"/>
  <c r="R450" i="1"/>
  <c r="S450" i="1" s="1"/>
  <c r="R449" i="1"/>
  <c r="S449" i="1" s="1"/>
  <c r="R448" i="1"/>
  <c r="S448" i="1" s="1"/>
  <c r="R447" i="1"/>
  <c r="S447" i="1" s="1"/>
  <c r="R446" i="1"/>
  <c r="S446" i="1" s="1"/>
  <c r="R445" i="1"/>
  <c r="S445" i="1" s="1"/>
  <c r="R444" i="1"/>
  <c r="S444" i="1" s="1"/>
  <c r="R443" i="1"/>
  <c r="S443" i="1" s="1"/>
  <c r="R442" i="1"/>
  <c r="S442" i="1" s="1"/>
  <c r="R441" i="1"/>
  <c r="S441" i="1" s="1"/>
  <c r="R440" i="1"/>
  <c r="S440" i="1" s="1"/>
  <c r="R439" i="1"/>
  <c r="S439" i="1" s="1"/>
  <c r="R438" i="1"/>
  <c r="S438" i="1" s="1"/>
  <c r="R437" i="1"/>
  <c r="S437" i="1" s="1"/>
  <c r="R436" i="1"/>
  <c r="S436" i="1" s="1"/>
  <c r="R435" i="1"/>
  <c r="S435" i="1" s="1"/>
  <c r="R434" i="1"/>
  <c r="S434" i="1" s="1"/>
  <c r="R433" i="1"/>
  <c r="S433" i="1" s="1"/>
  <c r="R432" i="1"/>
  <c r="S432" i="1" s="1"/>
  <c r="R431" i="1"/>
  <c r="S431" i="1" s="1"/>
  <c r="R430" i="1"/>
  <c r="S430" i="1" s="1"/>
  <c r="R429" i="1"/>
  <c r="S429" i="1" s="1"/>
  <c r="R428" i="1"/>
  <c r="S428" i="1" s="1"/>
  <c r="R427" i="1"/>
  <c r="S427" i="1" s="1"/>
  <c r="R426" i="1"/>
  <c r="S426" i="1" s="1"/>
  <c r="R425" i="1"/>
  <c r="S425" i="1" s="1"/>
  <c r="R424" i="1"/>
  <c r="S424" i="1" s="1"/>
  <c r="R423" i="1"/>
  <c r="S423" i="1" s="1"/>
  <c r="R422" i="1"/>
  <c r="S422" i="1" s="1"/>
  <c r="R421" i="1"/>
  <c r="S421" i="1" s="1"/>
  <c r="R420" i="1"/>
  <c r="S420" i="1" s="1"/>
  <c r="R419" i="1"/>
  <c r="S419" i="1" s="1"/>
  <c r="R418" i="1"/>
  <c r="S418" i="1" s="1"/>
  <c r="R417" i="1"/>
  <c r="S417" i="1" s="1"/>
  <c r="R416" i="1"/>
  <c r="S416" i="1" s="1"/>
  <c r="R415" i="1"/>
  <c r="S415" i="1" s="1"/>
  <c r="R414" i="1"/>
  <c r="S414" i="1" s="1"/>
  <c r="R413" i="1"/>
  <c r="S413" i="1" s="1"/>
  <c r="R412" i="1"/>
  <c r="S412" i="1" s="1"/>
  <c r="R411" i="1"/>
  <c r="S411" i="1" s="1"/>
  <c r="R410" i="1"/>
  <c r="S410" i="1" s="1"/>
  <c r="R409" i="1"/>
  <c r="S409" i="1" s="1"/>
  <c r="R408" i="1"/>
  <c r="S408" i="1" s="1"/>
  <c r="R407" i="1"/>
  <c r="S407" i="1" s="1"/>
  <c r="R406" i="1"/>
  <c r="S406" i="1" s="1"/>
  <c r="R405" i="1"/>
  <c r="S405" i="1" s="1"/>
  <c r="R404" i="1"/>
  <c r="S404" i="1" s="1"/>
  <c r="R403" i="1"/>
  <c r="S403" i="1" s="1"/>
  <c r="R402" i="1"/>
  <c r="S402" i="1" s="1"/>
  <c r="R401" i="1"/>
  <c r="S401" i="1" s="1"/>
  <c r="R400" i="1"/>
  <c r="S400" i="1" s="1"/>
  <c r="R399" i="1"/>
  <c r="S399" i="1" s="1"/>
  <c r="R398" i="1"/>
  <c r="S398" i="1" s="1"/>
  <c r="R397" i="1"/>
  <c r="S397" i="1" s="1"/>
  <c r="R396" i="1"/>
  <c r="S396" i="1" s="1"/>
  <c r="R395" i="1"/>
  <c r="S395" i="1" s="1"/>
  <c r="R394" i="1"/>
  <c r="S394" i="1" s="1"/>
  <c r="R393" i="1"/>
  <c r="S393" i="1" s="1"/>
  <c r="R392" i="1"/>
  <c r="S392" i="1" s="1"/>
  <c r="R391" i="1"/>
  <c r="S391" i="1" s="1"/>
  <c r="R390" i="1"/>
  <c r="S390" i="1" s="1"/>
  <c r="R389" i="1"/>
  <c r="S389" i="1" s="1"/>
  <c r="R388" i="1"/>
  <c r="S388" i="1" s="1"/>
  <c r="R387" i="1"/>
  <c r="S387" i="1" s="1"/>
  <c r="R386" i="1"/>
  <c r="S386" i="1" s="1"/>
  <c r="R385" i="1"/>
  <c r="S385" i="1" s="1"/>
  <c r="R384" i="1"/>
  <c r="S384" i="1" s="1"/>
  <c r="R383" i="1"/>
  <c r="S383" i="1" s="1"/>
  <c r="S382" i="1"/>
  <c r="R382" i="1"/>
  <c r="R381" i="1"/>
  <c r="S381" i="1" s="1"/>
  <c r="R380" i="1"/>
  <c r="S380" i="1" s="1"/>
  <c r="R379" i="1"/>
  <c r="S379" i="1" s="1"/>
  <c r="R378" i="1"/>
  <c r="S378" i="1" s="1"/>
  <c r="R377" i="1"/>
  <c r="S377" i="1" s="1"/>
  <c r="R376" i="1"/>
  <c r="S376" i="1" s="1"/>
  <c r="R375" i="1"/>
  <c r="S375" i="1" s="1"/>
  <c r="O300" i="1"/>
  <c r="D28" i="2"/>
  <c r="G7" i="2"/>
  <c r="E12" i="2"/>
  <c r="D12" i="2"/>
  <c r="F10" i="2"/>
  <c r="H10" i="2" s="1"/>
  <c r="F9" i="2"/>
  <c r="H9" i="2" s="1"/>
  <c r="F8" i="2"/>
  <c r="H8" i="2" s="1"/>
  <c r="G12" i="2"/>
  <c r="F7" i="2"/>
  <c r="M2" i="1"/>
  <c r="P2" i="1"/>
  <c r="N2" i="1"/>
  <c r="R374" i="1"/>
  <c r="S374" i="1" s="1"/>
  <c r="Q374" i="1"/>
  <c r="R373" i="1"/>
  <c r="S373" i="1" s="1"/>
  <c r="Q373" i="1"/>
  <c r="R372" i="1"/>
  <c r="S372" i="1" s="1"/>
  <c r="Q372" i="1"/>
  <c r="R371" i="1"/>
  <c r="S371" i="1" s="1"/>
  <c r="Q371" i="1"/>
  <c r="R370" i="1"/>
  <c r="S370" i="1" s="1"/>
  <c r="Q370" i="1"/>
  <c r="R369" i="1"/>
  <c r="S369" i="1" s="1"/>
  <c r="Q369" i="1"/>
  <c r="R368" i="1"/>
  <c r="S368" i="1" s="1"/>
  <c r="Q368" i="1"/>
  <c r="R367" i="1"/>
  <c r="S367" i="1" s="1"/>
  <c r="Q367" i="1"/>
  <c r="R366" i="1"/>
  <c r="S366" i="1" s="1"/>
  <c r="Q366" i="1"/>
  <c r="R365" i="1"/>
  <c r="S365" i="1" s="1"/>
  <c r="Q365" i="1"/>
  <c r="R364" i="1"/>
  <c r="S364" i="1" s="1"/>
  <c r="Q364" i="1"/>
  <c r="R363" i="1"/>
  <c r="S363" i="1" s="1"/>
  <c r="Q363" i="1"/>
  <c r="R362" i="1"/>
  <c r="S362" i="1" s="1"/>
  <c r="Q362" i="1"/>
  <c r="R361" i="1"/>
  <c r="S361" i="1" s="1"/>
  <c r="Q361" i="1"/>
  <c r="R360" i="1"/>
  <c r="S360" i="1" s="1"/>
  <c r="Q360" i="1"/>
  <c r="R359" i="1"/>
  <c r="S359" i="1" s="1"/>
  <c r="Q359" i="1"/>
  <c r="R358" i="1"/>
  <c r="S358" i="1" s="1"/>
  <c r="Q358" i="1"/>
  <c r="R357" i="1"/>
  <c r="S357" i="1" s="1"/>
  <c r="Q357" i="1"/>
  <c r="R356" i="1"/>
  <c r="S356" i="1" s="1"/>
  <c r="Q356" i="1"/>
  <c r="R355" i="1"/>
  <c r="S355" i="1" s="1"/>
  <c r="Q355" i="1"/>
  <c r="R354" i="1"/>
  <c r="S354" i="1" s="1"/>
  <c r="Q354" i="1"/>
  <c r="R353" i="1"/>
  <c r="S353" i="1" s="1"/>
  <c r="Q353" i="1"/>
  <c r="R352" i="1"/>
  <c r="S352" i="1" s="1"/>
  <c r="Q352" i="1"/>
  <c r="R351" i="1"/>
  <c r="S351" i="1" s="1"/>
  <c r="Q351" i="1"/>
  <c r="R350" i="1"/>
  <c r="S350" i="1" s="1"/>
  <c r="Q350" i="1"/>
  <c r="R349" i="1"/>
  <c r="S349" i="1" s="1"/>
  <c r="Q349" i="1"/>
  <c r="R348" i="1"/>
  <c r="S348" i="1" s="1"/>
  <c r="Q348" i="1"/>
  <c r="R347" i="1"/>
  <c r="S347" i="1" s="1"/>
  <c r="Q347" i="1"/>
  <c r="R346" i="1"/>
  <c r="S346" i="1" s="1"/>
  <c r="Q346" i="1"/>
  <c r="R345" i="1"/>
  <c r="S345" i="1" s="1"/>
  <c r="Q345" i="1"/>
  <c r="R344" i="1"/>
  <c r="S344" i="1" s="1"/>
  <c r="Q344" i="1"/>
  <c r="R343" i="1"/>
  <c r="S343" i="1" s="1"/>
  <c r="Q343" i="1"/>
  <c r="R342" i="1"/>
  <c r="S342" i="1" s="1"/>
  <c r="Q342" i="1"/>
  <c r="R341" i="1"/>
  <c r="S341" i="1" s="1"/>
  <c r="Q341" i="1"/>
  <c r="R340" i="1"/>
  <c r="S340" i="1" s="1"/>
  <c r="Q340" i="1"/>
  <c r="R339" i="1"/>
  <c r="S339" i="1" s="1"/>
  <c r="Q339" i="1"/>
  <c r="R338" i="1"/>
  <c r="S338" i="1" s="1"/>
  <c r="Q338" i="1"/>
  <c r="R337" i="1"/>
  <c r="S337" i="1" s="1"/>
  <c r="Q337" i="1"/>
  <c r="R336" i="1"/>
  <c r="S336" i="1" s="1"/>
  <c r="Q336" i="1"/>
  <c r="R335" i="1"/>
  <c r="S335" i="1" s="1"/>
  <c r="Q335" i="1"/>
  <c r="R334" i="1"/>
  <c r="S334" i="1" s="1"/>
  <c r="Q334" i="1"/>
  <c r="R333" i="1"/>
  <c r="S333" i="1" s="1"/>
  <c r="Q333" i="1"/>
  <c r="R332" i="1"/>
  <c r="S332" i="1" s="1"/>
  <c r="Q332" i="1"/>
  <c r="R331" i="1"/>
  <c r="S331" i="1" s="1"/>
  <c r="Q331" i="1"/>
  <c r="R330" i="1"/>
  <c r="S330" i="1" s="1"/>
  <c r="Q330" i="1"/>
  <c r="R329" i="1"/>
  <c r="S329" i="1" s="1"/>
  <c r="Q329" i="1"/>
  <c r="R328" i="1"/>
  <c r="S328" i="1" s="1"/>
  <c r="Q328" i="1"/>
  <c r="R327" i="1"/>
  <c r="S327" i="1" s="1"/>
  <c r="Q327" i="1"/>
  <c r="R326" i="1"/>
  <c r="S326" i="1" s="1"/>
  <c r="Q326" i="1"/>
  <c r="R325" i="1"/>
  <c r="S325" i="1" s="1"/>
  <c r="Q325" i="1"/>
  <c r="R324" i="1"/>
  <c r="S324" i="1" s="1"/>
  <c r="Q324" i="1"/>
  <c r="R323" i="1"/>
  <c r="S323" i="1" s="1"/>
  <c r="Q323" i="1"/>
  <c r="R322" i="1"/>
  <c r="S322" i="1" s="1"/>
  <c r="Q322" i="1"/>
  <c r="R321" i="1"/>
  <c r="S321" i="1" s="1"/>
  <c r="Q321" i="1"/>
  <c r="R320" i="1"/>
  <c r="S320" i="1" s="1"/>
  <c r="Q320" i="1"/>
  <c r="R319" i="1"/>
  <c r="S319" i="1" s="1"/>
  <c r="Q319" i="1"/>
  <c r="R318" i="1"/>
  <c r="S318" i="1" s="1"/>
  <c r="Q318" i="1"/>
  <c r="R317" i="1"/>
  <c r="S317" i="1" s="1"/>
  <c r="Q317" i="1"/>
  <c r="R316" i="1"/>
  <c r="S316" i="1" s="1"/>
  <c r="Q316" i="1"/>
  <c r="R315" i="1"/>
  <c r="S315" i="1" s="1"/>
  <c r="Q315" i="1"/>
  <c r="R314" i="1"/>
  <c r="S314" i="1" s="1"/>
  <c r="Q314" i="1"/>
  <c r="R313" i="1"/>
  <c r="S313" i="1" s="1"/>
  <c r="Q313" i="1"/>
  <c r="R312" i="1"/>
  <c r="S312" i="1" s="1"/>
  <c r="Q312" i="1"/>
  <c r="R311" i="1"/>
  <c r="S311" i="1" s="1"/>
  <c r="Q311" i="1"/>
  <c r="R310" i="1"/>
  <c r="S310" i="1" s="1"/>
  <c r="Q310" i="1"/>
  <c r="R309" i="1"/>
  <c r="S309" i="1" s="1"/>
  <c r="Q309" i="1"/>
  <c r="R308" i="1"/>
  <c r="S308" i="1" s="1"/>
  <c r="Q308" i="1"/>
  <c r="R307" i="1"/>
  <c r="S307" i="1" s="1"/>
  <c r="Q307" i="1"/>
  <c r="R306" i="1"/>
  <c r="S306" i="1" s="1"/>
  <c r="Q306" i="1"/>
  <c r="R305" i="1"/>
  <c r="S305" i="1" s="1"/>
  <c r="Q305" i="1"/>
  <c r="R304" i="1"/>
  <c r="S304" i="1" s="1"/>
  <c r="Q304" i="1"/>
  <c r="R303" i="1"/>
  <c r="S303" i="1" s="1"/>
  <c r="Q303" i="1"/>
  <c r="R302" i="1"/>
  <c r="S302" i="1" s="1"/>
  <c r="Q302" i="1"/>
  <c r="R301" i="1"/>
  <c r="S301" i="1" s="1"/>
  <c r="Q301" i="1"/>
  <c r="R300" i="1"/>
  <c r="S300" i="1" s="1"/>
  <c r="Q300" i="1"/>
  <c r="R299" i="1"/>
  <c r="S299" i="1" s="1"/>
  <c r="Q299" i="1"/>
  <c r="R298" i="1"/>
  <c r="S298" i="1" s="1"/>
  <c r="Q298" i="1"/>
  <c r="R297" i="1"/>
  <c r="S297" i="1" s="1"/>
  <c r="Q297" i="1"/>
  <c r="R296" i="1"/>
  <c r="S296" i="1" s="1"/>
  <c r="Q296" i="1"/>
  <c r="R295" i="1"/>
  <c r="S295" i="1" s="1"/>
  <c r="Q295" i="1"/>
  <c r="R294" i="1"/>
  <c r="S294" i="1" s="1"/>
  <c r="Q294" i="1"/>
  <c r="R293" i="1"/>
  <c r="S293" i="1" s="1"/>
  <c r="Q293" i="1"/>
  <c r="R292" i="1"/>
  <c r="S292" i="1" s="1"/>
  <c r="Q292" i="1"/>
  <c r="R291" i="1"/>
  <c r="S291" i="1" s="1"/>
  <c r="Q291" i="1"/>
  <c r="R290" i="1"/>
  <c r="S290" i="1" s="1"/>
  <c r="Q290" i="1"/>
  <c r="R289" i="1"/>
  <c r="S289" i="1" s="1"/>
  <c r="Q289" i="1"/>
  <c r="R288" i="1"/>
  <c r="S288" i="1" s="1"/>
  <c r="Q288" i="1"/>
  <c r="R287" i="1"/>
  <c r="S287" i="1" s="1"/>
  <c r="Q287" i="1"/>
  <c r="R286" i="1"/>
  <c r="S286" i="1" s="1"/>
  <c r="Q286" i="1"/>
  <c r="R285" i="1"/>
  <c r="S285" i="1" s="1"/>
  <c r="Q285" i="1"/>
  <c r="R284" i="1"/>
  <c r="S284" i="1" s="1"/>
  <c r="Q284" i="1"/>
  <c r="R283" i="1"/>
  <c r="S283" i="1" s="1"/>
  <c r="Q283" i="1"/>
  <c r="R282" i="1"/>
  <c r="S282" i="1" s="1"/>
  <c r="Q282" i="1"/>
  <c r="R281" i="1"/>
  <c r="S281" i="1" s="1"/>
  <c r="Q281" i="1"/>
  <c r="R280" i="1"/>
  <c r="S280" i="1" s="1"/>
  <c r="Q280" i="1"/>
  <c r="R279" i="1"/>
  <c r="S279" i="1" s="1"/>
  <c r="Q279" i="1"/>
  <c r="R278" i="1"/>
  <c r="S278" i="1" s="1"/>
  <c r="Q278" i="1"/>
  <c r="R277" i="1"/>
  <c r="S277" i="1" s="1"/>
  <c r="Q277" i="1"/>
  <c r="R276" i="1"/>
  <c r="S276" i="1" s="1"/>
  <c r="Q276" i="1"/>
  <c r="R275" i="1"/>
  <c r="S275" i="1" s="1"/>
  <c r="Q275" i="1"/>
  <c r="R274" i="1"/>
  <c r="S274" i="1" s="1"/>
  <c r="Q274" i="1"/>
  <c r="R273" i="1"/>
  <c r="S273" i="1" s="1"/>
  <c r="Q273" i="1"/>
  <c r="R272" i="1"/>
  <c r="S272" i="1" s="1"/>
  <c r="Q272" i="1"/>
  <c r="R271" i="1"/>
  <c r="S271" i="1" s="1"/>
  <c r="Q271" i="1"/>
  <c r="R270" i="1"/>
  <c r="S270" i="1" s="1"/>
  <c r="Q270" i="1"/>
  <c r="R269" i="1"/>
  <c r="S269" i="1" s="1"/>
  <c r="Q269" i="1"/>
  <c r="R268" i="1"/>
  <c r="S268" i="1" s="1"/>
  <c r="Q268" i="1"/>
  <c r="R267" i="1"/>
  <c r="S267" i="1" s="1"/>
  <c r="Q267" i="1"/>
  <c r="R266" i="1"/>
  <c r="S266" i="1" s="1"/>
  <c r="Q266" i="1"/>
  <c r="R265" i="1"/>
  <c r="S265" i="1" s="1"/>
  <c r="Q265" i="1"/>
  <c r="R264" i="1"/>
  <c r="S264" i="1" s="1"/>
  <c r="Q264" i="1"/>
  <c r="R263" i="1"/>
  <c r="S263" i="1" s="1"/>
  <c r="Q263" i="1"/>
  <c r="R262" i="1"/>
  <c r="S262" i="1" s="1"/>
  <c r="Q262" i="1"/>
  <c r="R261" i="1"/>
  <c r="S261" i="1" s="1"/>
  <c r="Q261" i="1"/>
  <c r="R260" i="1"/>
  <c r="S260" i="1" s="1"/>
  <c r="Q260" i="1"/>
  <c r="R259" i="1"/>
  <c r="S259" i="1" s="1"/>
  <c r="Q259" i="1"/>
  <c r="R258" i="1"/>
  <c r="S258" i="1" s="1"/>
  <c r="Q258" i="1"/>
  <c r="R257" i="1"/>
  <c r="S257" i="1" s="1"/>
  <c r="Q257" i="1"/>
  <c r="R256" i="1"/>
  <c r="S256" i="1" s="1"/>
  <c r="Q256" i="1"/>
  <c r="R255" i="1"/>
  <c r="S255" i="1" s="1"/>
  <c r="Q255" i="1"/>
  <c r="R254" i="1"/>
  <c r="S254" i="1" s="1"/>
  <c r="Q254" i="1"/>
  <c r="R253" i="1"/>
  <c r="S253" i="1" s="1"/>
  <c r="Q253" i="1"/>
  <c r="R252" i="1"/>
  <c r="S252" i="1" s="1"/>
  <c r="Q252" i="1"/>
  <c r="R251" i="1"/>
  <c r="S251" i="1" s="1"/>
  <c r="Q251" i="1"/>
  <c r="R250" i="1"/>
  <c r="S250" i="1" s="1"/>
  <c r="Q250" i="1"/>
  <c r="R249" i="1"/>
  <c r="S249" i="1" s="1"/>
  <c r="Q249" i="1"/>
  <c r="R248" i="1"/>
  <c r="S248" i="1" s="1"/>
  <c r="Q248" i="1"/>
  <c r="R247" i="1"/>
  <c r="S247" i="1" s="1"/>
  <c r="Q247" i="1"/>
  <c r="R246" i="1"/>
  <c r="S246" i="1" s="1"/>
  <c r="Q246" i="1"/>
  <c r="R245" i="1"/>
  <c r="S245" i="1" s="1"/>
  <c r="Q245" i="1"/>
  <c r="R244" i="1"/>
  <c r="S244" i="1" s="1"/>
  <c r="Q244" i="1"/>
  <c r="R243" i="1"/>
  <c r="S243" i="1" s="1"/>
  <c r="Q243" i="1"/>
  <c r="R242" i="1"/>
  <c r="S242" i="1" s="1"/>
  <c r="Q242" i="1"/>
  <c r="R241" i="1"/>
  <c r="S241" i="1" s="1"/>
  <c r="Q241" i="1"/>
  <c r="R240" i="1"/>
  <c r="S240" i="1" s="1"/>
  <c r="Q240" i="1"/>
  <c r="R239" i="1"/>
  <c r="S239" i="1" s="1"/>
  <c r="Q239" i="1"/>
  <c r="R238" i="1"/>
  <c r="S238" i="1" s="1"/>
  <c r="Q238" i="1"/>
  <c r="R237" i="1"/>
  <c r="S237" i="1" s="1"/>
  <c r="Q237" i="1"/>
  <c r="R236" i="1"/>
  <c r="S236" i="1" s="1"/>
  <c r="Q236" i="1"/>
  <c r="R235" i="1"/>
  <c r="S235" i="1" s="1"/>
  <c r="Q235" i="1"/>
  <c r="R234" i="1"/>
  <c r="S234" i="1" s="1"/>
  <c r="Q234" i="1"/>
  <c r="R233" i="1"/>
  <c r="S233" i="1" s="1"/>
  <c r="Q233" i="1"/>
  <c r="R232" i="1"/>
  <c r="S232" i="1" s="1"/>
  <c r="Q232" i="1"/>
  <c r="R231" i="1"/>
  <c r="S231" i="1" s="1"/>
  <c r="Q231" i="1"/>
  <c r="R230" i="1"/>
  <c r="S230" i="1" s="1"/>
  <c r="Q230" i="1"/>
  <c r="R229" i="1"/>
  <c r="S229" i="1" s="1"/>
  <c r="Q229" i="1"/>
  <c r="R228" i="1"/>
  <c r="S228" i="1" s="1"/>
  <c r="Q228" i="1"/>
  <c r="R227" i="1"/>
  <c r="S227" i="1" s="1"/>
  <c r="Q227" i="1"/>
  <c r="R226" i="1"/>
  <c r="S226" i="1" s="1"/>
  <c r="Q226" i="1"/>
  <c r="R225" i="1"/>
  <c r="S225" i="1" s="1"/>
  <c r="Q225" i="1"/>
  <c r="R224" i="1"/>
  <c r="S224" i="1" s="1"/>
  <c r="Q224" i="1"/>
  <c r="R223" i="1"/>
  <c r="S223" i="1" s="1"/>
  <c r="Q223" i="1"/>
  <c r="R222" i="1"/>
  <c r="S222" i="1" s="1"/>
  <c r="Q222" i="1"/>
  <c r="R221" i="1"/>
  <c r="S221" i="1" s="1"/>
  <c r="Q221" i="1"/>
  <c r="R220" i="1"/>
  <c r="S220" i="1" s="1"/>
  <c r="Q220" i="1"/>
  <c r="R219" i="1"/>
  <c r="S219" i="1" s="1"/>
  <c r="Q219" i="1"/>
  <c r="R218" i="1"/>
  <c r="S218" i="1" s="1"/>
  <c r="Q218" i="1"/>
  <c r="R217" i="1"/>
  <c r="S217" i="1" s="1"/>
  <c r="Q217" i="1"/>
  <c r="R216" i="1"/>
  <c r="S216" i="1" s="1"/>
  <c r="Q216" i="1"/>
  <c r="R215" i="1"/>
  <c r="S215" i="1" s="1"/>
  <c r="Q215" i="1"/>
  <c r="R214" i="1"/>
  <c r="S214" i="1" s="1"/>
  <c r="Q214" i="1"/>
  <c r="R213" i="1"/>
  <c r="S213" i="1" s="1"/>
  <c r="Q213" i="1"/>
  <c r="R212" i="1"/>
  <c r="S212" i="1" s="1"/>
  <c r="Q212" i="1"/>
  <c r="R211" i="1"/>
  <c r="S211" i="1" s="1"/>
  <c r="Q211" i="1"/>
  <c r="R210" i="1"/>
  <c r="S210" i="1" s="1"/>
  <c r="Q210" i="1"/>
  <c r="R209" i="1"/>
  <c r="S209" i="1" s="1"/>
  <c r="Q209" i="1"/>
  <c r="R208" i="1"/>
  <c r="S208" i="1" s="1"/>
  <c r="Q208" i="1"/>
  <c r="R207" i="1"/>
  <c r="S207" i="1" s="1"/>
  <c r="Q207" i="1"/>
  <c r="R206" i="1"/>
  <c r="S206" i="1" s="1"/>
  <c r="Q206" i="1"/>
  <c r="R205" i="1"/>
  <c r="S205" i="1" s="1"/>
  <c r="Q205" i="1"/>
  <c r="R204" i="1"/>
  <c r="S204" i="1" s="1"/>
  <c r="Q204" i="1"/>
  <c r="R203" i="1"/>
  <c r="S203" i="1" s="1"/>
  <c r="Q203" i="1"/>
  <c r="R202" i="1"/>
  <c r="S202" i="1" s="1"/>
  <c r="Q202" i="1"/>
  <c r="R201" i="1"/>
  <c r="S201" i="1" s="1"/>
  <c r="Q201" i="1"/>
  <c r="R200" i="1"/>
  <c r="S200" i="1" s="1"/>
  <c r="Q200" i="1"/>
  <c r="R199" i="1"/>
  <c r="S199" i="1" s="1"/>
  <c r="Q199" i="1"/>
  <c r="R198" i="1"/>
  <c r="S198" i="1" s="1"/>
  <c r="Q198" i="1"/>
  <c r="R197" i="1"/>
  <c r="S197" i="1" s="1"/>
  <c r="Q197" i="1"/>
  <c r="R196" i="1"/>
  <c r="S196" i="1" s="1"/>
  <c r="Q196" i="1"/>
  <c r="R195" i="1"/>
  <c r="S195" i="1" s="1"/>
  <c r="Q195" i="1"/>
  <c r="R194" i="1"/>
  <c r="S194" i="1" s="1"/>
  <c r="Q194" i="1"/>
  <c r="R193" i="1"/>
  <c r="S193" i="1" s="1"/>
  <c r="Q193" i="1"/>
  <c r="R192" i="1"/>
  <c r="S192" i="1" s="1"/>
  <c r="Q192" i="1"/>
  <c r="R191" i="1"/>
  <c r="S191" i="1" s="1"/>
  <c r="Q191" i="1"/>
  <c r="R190" i="1"/>
  <c r="S190" i="1" s="1"/>
  <c r="Q190" i="1"/>
  <c r="R189" i="1"/>
  <c r="S189" i="1" s="1"/>
  <c r="Q189" i="1"/>
  <c r="R188" i="1"/>
  <c r="S188" i="1" s="1"/>
  <c r="Q188" i="1"/>
  <c r="R187" i="1"/>
  <c r="S187" i="1" s="1"/>
  <c r="Q187" i="1"/>
  <c r="R186" i="1"/>
  <c r="S186" i="1" s="1"/>
  <c r="Q186" i="1"/>
  <c r="R185" i="1"/>
  <c r="S185" i="1" s="1"/>
  <c r="Q185" i="1"/>
  <c r="R184" i="1"/>
  <c r="S184" i="1" s="1"/>
  <c r="Q184" i="1"/>
  <c r="R183" i="1"/>
  <c r="S183" i="1" s="1"/>
  <c r="Q183" i="1"/>
  <c r="R182" i="1"/>
  <c r="S182" i="1" s="1"/>
  <c r="Q182" i="1"/>
  <c r="R181" i="1"/>
  <c r="S181" i="1" s="1"/>
  <c r="Q181" i="1"/>
  <c r="R180" i="1"/>
  <c r="S180" i="1" s="1"/>
  <c r="Q180" i="1"/>
  <c r="R179" i="1"/>
  <c r="S179" i="1" s="1"/>
  <c r="Q179" i="1"/>
  <c r="R178" i="1"/>
  <c r="S178" i="1" s="1"/>
  <c r="Q178" i="1"/>
  <c r="R177" i="1"/>
  <c r="S177" i="1" s="1"/>
  <c r="Q177" i="1"/>
  <c r="R176" i="1"/>
  <c r="S176" i="1" s="1"/>
  <c r="Q176" i="1"/>
  <c r="R175" i="1"/>
  <c r="S175" i="1" s="1"/>
  <c r="Q175" i="1"/>
  <c r="R174" i="1"/>
  <c r="S174" i="1" s="1"/>
  <c r="Q174" i="1"/>
  <c r="R173" i="1"/>
  <c r="S173" i="1" s="1"/>
  <c r="Q173" i="1"/>
  <c r="R172" i="1"/>
  <c r="S172" i="1" s="1"/>
  <c r="Q172" i="1"/>
  <c r="R171" i="1"/>
  <c r="S171" i="1" s="1"/>
  <c r="Q171" i="1"/>
  <c r="R170" i="1"/>
  <c r="S170" i="1" s="1"/>
  <c r="Q170" i="1"/>
  <c r="R169" i="1"/>
  <c r="S169" i="1" s="1"/>
  <c r="Q169" i="1"/>
  <c r="R168" i="1"/>
  <c r="S168" i="1" s="1"/>
  <c r="Q168" i="1"/>
  <c r="R167" i="1"/>
  <c r="S167" i="1" s="1"/>
  <c r="Q167" i="1"/>
  <c r="R166" i="1"/>
  <c r="S166" i="1" s="1"/>
  <c r="Q166" i="1"/>
  <c r="R165" i="1"/>
  <c r="S165" i="1" s="1"/>
  <c r="Q165" i="1"/>
  <c r="R164" i="1"/>
  <c r="S164" i="1" s="1"/>
  <c r="Q164" i="1"/>
  <c r="R163" i="1"/>
  <c r="S163" i="1" s="1"/>
  <c r="Q163" i="1"/>
  <c r="R162" i="1"/>
  <c r="S162" i="1" s="1"/>
  <c r="Q162" i="1"/>
  <c r="R161" i="1"/>
  <c r="S161" i="1" s="1"/>
  <c r="Q161" i="1"/>
  <c r="R160" i="1"/>
  <c r="S160" i="1" s="1"/>
  <c r="Q160" i="1"/>
  <c r="R159" i="1"/>
  <c r="S159" i="1" s="1"/>
  <c r="Q159" i="1"/>
  <c r="R158" i="1"/>
  <c r="S158" i="1" s="1"/>
  <c r="Q158" i="1"/>
  <c r="R157" i="1"/>
  <c r="S157" i="1" s="1"/>
  <c r="Q157" i="1"/>
  <c r="R156" i="1"/>
  <c r="S156" i="1" s="1"/>
  <c r="Q156" i="1"/>
  <c r="R155" i="1"/>
  <c r="S155" i="1" s="1"/>
  <c r="Q155" i="1"/>
  <c r="R154" i="1"/>
  <c r="S154" i="1" s="1"/>
  <c r="Q154" i="1"/>
  <c r="R153" i="1"/>
  <c r="S153" i="1" s="1"/>
  <c r="Q153" i="1"/>
  <c r="R152" i="1"/>
  <c r="S152" i="1" s="1"/>
  <c r="Q152" i="1"/>
  <c r="R151" i="1"/>
  <c r="S151" i="1" s="1"/>
  <c r="Q151" i="1"/>
  <c r="R150" i="1"/>
  <c r="S150" i="1" s="1"/>
  <c r="Q150" i="1"/>
  <c r="R149" i="1"/>
  <c r="S149" i="1" s="1"/>
  <c r="Q149" i="1"/>
  <c r="R148" i="1"/>
  <c r="S148" i="1" s="1"/>
  <c r="Q148" i="1"/>
  <c r="R147" i="1"/>
  <c r="S147" i="1" s="1"/>
  <c r="Q147" i="1"/>
  <c r="R146" i="1"/>
  <c r="S146" i="1" s="1"/>
  <c r="Q146" i="1"/>
  <c r="R145" i="1"/>
  <c r="S145" i="1" s="1"/>
  <c r="Q145" i="1"/>
  <c r="R144" i="1"/>
  <c r="S144" i="1" s="1"/>
  <c r="Q144" i="1"/>
  <c r="R143" i="1"/>
  <c r="S143" i="1" s="1"/>
  <c r="Q143" i="1"/>
  <c r="R142" i="1"/>
  <c r="S142" i="1" s="1"/>
  <c r="Q142" i="1"/>
  <c r="R141" i="1"/>
  <c r="S141" i="1" s="1"/>
  <c r="Q141" i="1"/>
  <c r="R140" i="1"/>
  <c r="S140" i="1" s="1"/>
  <c r="Q140" i="1"/>
  <c r="R139" i="1"/>
  <c r="S139" i="1" s="1"/>
  <c r="Q139" i="1"/>
  <c r="R138" i="1"/>
  <c r="S138" i="1" s="1"/>
  <c r="Q138" i="1"/>
  <c r="R137" i="1"/>
  <c r="S137" i="1" s="1"/>
  <c r="Q137" i="1"/>
  <c r="R136" i="1"/>
  <c r="S136" i="1" s="1"/>
  <c r="Q136" i="1"/>
  <c r="R135" i="1"/>
  <c r="S135" i="1" s="1"/>
  <c r="Q135" i="1"/>
  <c r="R134" i="1"/>
  <c r="S134" i="1" s="1"/>
  <c r="Q134" i="1"/>
  <c r="R133" i="1"/>
  <c r="S133" i="1" s="1"/>
  <c r="Q133" i="1"/>
  <c r="R132" i="1"/>
  <c r="S132" i="1" s="1"/>
  <c r="Q132" i="1"/>
  <c r="R131" i="1"/>
  <c r="S131" i="1" s="1"/>
  <c r="Q131" i="1"/>
  <c r="R130" i="1"/>
  <c r="S130" i="1" s="1"/>
  <c r="Q130" i="1"/>
  <c r="R129" i="1"/>
  <c r="S129" i="1" s="1"/>
  <c r="Q129" i="1"/>
  <c r="R128" i="1"/>
  <c r="S128" i="1" s="1"/>
  <c r="Q128" i="1"/>
  <c r="R127" i="1"/>
  <c r="S127" i="1" s="1"/>
  <c r="Q127" i="1"/>
  <c r="R126" i="1"/>
  <c r="S126" i="1" s="1"/>
  <c r="Q126" i="1"/>
  <c r="R125" i="1"/>
  <c r="S125" i="1" s="1"/>
  <c r="Q125" i="1"/>
  <c r="R124" i="1"/>
  <c r="S124" i="1" s="1"/>
  <c r="Q124" i="1"/>
  <c r="R123" i="1"/>
  <c r="S123" i="1" s="1"/>
  <c r="Q123" i="1"/>
  <c r="R122" i="1"/>
  <c r="S122" i="1" s="1"/>
  <c r="Q122" i="1"/>
  <c r="R121" i="1"/>
  <c r="S121" i="1" s="1"/>
  <c r="Q121" i="1"/>
  <c r="R120" i="1"/>
  <c r="S120" i="1" s="1"/>
  <c r="Q120" i="1"/>
  <c r="R119" i="1"/>
  <c r="S119" i="1" s="1"/>
  <c r="Q119" i="1"/>
  <c r="R118" i="1"/>
  <c r="S118" i="1" s="1"/>
  <c r="Q118" i="1"/>
  <c r="R117" i="1"/>
  <c r="S117" i="1" s="1"/>
  <c r="Q117" i="1"/>
  <c r="R116" i="1"/>
  <c r="S116" i="1" s="1"/>
  <c r="Q116" i="1"/>
  <c r="R115" i="1"/>
  <c r="S115" i="1" s="1"/>
  <c r="Q115" i="1"/>
  <c r="R114" i="1"/>
  <c r="S114" i="1" s="1"/>
  <c r="Q114" i="1"/>
  <c r="R113" i="1"/>
  <c r="S113" i="1" s="1"/>
  <c r="Q113" i="1"/>
  <c r="R112" i="1"/>
  <c r="S112" i="1" s="1"/>
  <c r="Q112" i="1"/>
  <c r="R111" i="1"/>
  <c r="S111" i="1" s="1"/>
  <c r="Q111" i="1"/>
  <c r="R110" i="1"/>
  <c r="S110" i="1" s="1"/>
  <c r="Q110" i="1"/>
  <c r="R109" i="1"/>
  <c r="S109" i="1" s="1"/>
  <c r="Q109" i="1"/>
  <c r="R108" i="1"/>
  <c r="S108" i="1" s="1"/>
  <c r="Q108" i="1"/>
  <c r="R107" i="1"/>
  <c r="S107" i="1" s="1"/>
  <c r="Q107" i="1"/>
  <c r="R106" i="1"/>
  <c r="S106" i="1" s="1"/>
  <c r="Q106" i="1"/>
  <c r="R105" i="1"/>
  <c r="S105" i="1" s="1"/>
  <c r="Q105" i="1"/>
  <c r="R104" i="1"/>
  <c r="S104" i="1" s="1"/>
  <c r="Q104" i="1"/>
  <c r="R103" i="1"/>
  <c r="S103" i="1" s="1"/>
  <c r="Q103" i="1"/>
  <c r="R102" i="1"/>
  <c r="S102" i="1" s="1"/>
  <c r="Q102" i="1"/>
  <c r="R101" i="1"/>
  <c r="S101" i="1" s="1"/>
  <c r="Q101" i="1"/>
  <c r="R100" i="1"/>
  <c r="S100" i="1" s="1"/>
  <c r="Q100" i="1"/>
  <c r="R99" i="1"/>
  <c r="S99" i="1" s="1"/>
  <c r="Q99" i="1"/>
  <c r="R98" i="1"/>
  <c r="S98" i="1" s="1"/>
  <c r="Q98" i="1"/>
  <c r="R97" i="1"/>
  <c r="S97" i="1" s="1"/>
  <c r="Q97" i="1"/>
  <c r="R96" i="1"/>
  <c r="S96" i="1" s="1"/>
  <c r="Q96" i="1"/>
  <c r="R95" i="1"/>
  <c r="S95" i="1" s="1"/>
  <c r="Q95" i="1"/>
  <c r="R94" i="1"/>
  <c r="S94" i="1" s="1"/>
  <c r="Q94" i="1"/>
  <c r="R93" i="1"/>
  <c r="S93" i="1" s="1"/>
  <c r="Q93" i="1"/>
  <c r="R92" i="1"/>
  <c r="S92" i="1" s="1"/>
  <c r="Q92" i="1"/>
  <c r="R91" i="1"/>
  <c r="S91" i="1" s="1"/>
  <c r="Q91" i="1"/>
  <c r="R90" i="1"/>
  <c r="S90" i="1" s="1"/>
  <c r="Q90" i="1"/>
  <c r="R89" i="1"/>
  <c r="S89" i="1" s="1"/>
  <c r="Q89" i="1"/>
  <c r="R88" i="1"/>
  <c r="S88" i="1" s="1"/>
  <c r="Q88" i="1"/>
  <c r="R87" i="1"/>
  <c r="S87" i="1" s="1"/>
  <c r="Q87" i="1"/>
  <c r="R86" i="1"/>
  <c r="S86" i="1" s="1"/>
  <c r="Q86" i="1"/>
  <c r="R85" i="1"/>
  <c r="S85" i="1" s="1"/>
  <c r="Q85" i="1"/>
  <c r="R84" i="1"/>
  <c r="S84" i="1" s="1"/>
  <c r="Q84" i="1"/>
  <c r="R83" i="1"/>
  <c r="S83" i="1" s="1"/>
  <c r="Q83" i="1"/>
  <c r="R82" i="1"/>
  <c r="S82" i="1" s="1"/>
  <c r="Q82" i="1"/>
  <c r="R81" i="1"/>
  <c r="S81" i="1" s="1"/>
  <c r="Q81" i="1"/>
  <c r="R80" i="1"/>
  <c r="S80" i="1" s="1"/>
  <c r="Q80" i="1"/>
  <c r="R79" i="1"/>
  <c r="S79" i="1" s="1"/>
  <c r="Q79" i="1"/>
  <c r="R78" i="1"/>
  <c r="S78" i="1" s="1"/>
  <c r="Q78" i="1"/>
  <c r="R77" i="1"/>
  <c r="S77" i="1" s="1"/>
  <c r="Q77" i="1"/>
  <c r="R76" i="1"/>
  <c r="S76" i="1" s="1"/>
  <c r="Q76" i="1"/>
  <c r="R75" i="1"/>
  <c r="S75" i="1" s="1"/>
  <c r="Q75" i="1"/>
  <c r="R74" i="1"/>
  <c r="S74" i="1" s="1"/>
  <c r="Q74" i="1"/>
  <c r="R73" i="1"/>
  <c r="S73" i="1" s="1"/>
  <c r="Q73" i="1"/>
  <c r="R72" i="1"/>
  <c r="S72" i="1" s="1"/>
  <c r="Q72" i="1"/>
  <c r="R71" i="1"/>
  <c r="S71" i="1" s="1"/>
  <c r="Q71" i="1"/>
  <c r="R70" i="1"/>
  <c r="S70" i="1" s="1"/>
  <c r="Q70" i="1"/>
  <c r="R69" i="1"/>
  <c r="S69" i="1" s="1"/>
  <c r="Q69" i="1"/>
  <c r="R68" i="1"/>
  <c r="S68" i="1" s="1"/>
  <c r="Q68" i="1"/>
  <c r="R67" i="1"/>
  <c r="S67" i="1" s="1"/>
  <c r="Q67" i="1"/>
  <c r="R66" i="1"/>
  <c r="S66" i="1" s="1"/>
  <c r="Q66" i="1"/>
  <c r="R65" i="1"/>
  <c r="S65" i="1" s="1"/>
  <c r="Q65" i="1"/>
  <c r="R64" i="1"/>
  <c r="S64" i="1" s="1"/>
  <c r="Q64" i="1"/>
  <c r="R63" i="1"/>
  <c r="S63" i="1" s="1"/>
  <c r="Q63" i="1"/>
  <c r="R62" i="1"/>
  <c r="S62" i="1" s="1"/>
  <c r="Q62" i="1"/>
  <c r="R61" i="1"/>
  <c r="S61" i="1" s="1"/>
  <c r="Q61" i="1"/>
  <c r="R60" i="1"/>
  <c r="S60" i="1" s="1"/>
  <c r="Q60" i="1"/>
  <c r="R59" i="1"/>
  <c r="S59" i="1" s="1"/>
  <c r="Q59" i="1"/>
  <c r="R58" i="1"/>
  <c r="S58" i="1" s="1"/>
  <c r="Q58" i="1"/>
  <c r="R57" i="1"/>
  <c r="S57" i="1" s="1"/>
  <c r="Q57" i="1"/>
  <c r="R56" i="1"/>
  <c r="S56" i="1" s="1"/>
  <c r="Q56" i="1"/>
  <c r="R55" i="1"/>
  <c r="S55" i="1" s="1"/>
  <c r="Q55" i="1"/>
  <c r="R54" i="1"/>
  <c r="S54" i="1" s="1"/>
  <c r="Q54" i="1"/>
  <c r="R53" i="1"/>
  <c r="S53" i="1" s="1"/>
  <c r="Q53" i="1"/>
  <c r="R52" i="1"/>
  <c r="S52" i="1" s="1"/>
  <c r="Q52" i="1"/>
  <c r="R51" i="1"/>
  <c r="S51" i="1" s="1"/>
  <c r="Q51" i="1"/>
  <c r="R50" i="1"/>
  <c r="S50" i="1" s="1"/>
  <c r="Q50" i="1"/>
  <c r="R49" i="1"/>
  <c r="S49" i="1" s="1"/>
  <c r="Q49" i="1"/>
  <c r="R48" i="1"/>
  <c r="S48" i="1" s="1"/>
  <c r="Q48" i="1"/>
  <c r="R47" i="1"/>
  <c r="S47" i="1" s="1"/>
  <c r="Q47" i="1"/>
  <c r="R46" i="1"/>
  <c r="S46" i="1" s="1"/>
  <c r="Q46" i="1"/>
  <c r="R45" i="1"/>
  <c r="S45" i="1" s="1"/>
  <c r="Q45" i="1"/>
  <c r="R44" i="1"/>
  <c r="S44" i="1" s="1"/>
  <c r="Q44" i="1"/>
  <c r="R43" i="1"/>
  <c r="S43" i="1" s="1"/>
  <c r="Q43" i="1"/>
  <c r="R42" i="1"/>
  <c r="S42" i="1" s="1"/>
  <c r="Q42" i="1"/>
  <c r="R41" i="1"/>
  <c r="S41" i="1" s="1"/>
  <c r="Q41" i="1"/>
  <c r="R40" i="1"/>
  <c r="S40" i="1" s="1"/>
  <c r="Q40" i="1"/>
  <c r="R39" i="1"/>
  <c r="S39" i="1" s="1"/>
  <c r="Q39" i="1"/>
  <c r="R38" i="1"/>
  <c r="S38" i="1" s="1"/>
  <c r="Q38" i="1"/>
  <c r="R37" i="1"/>
  <c r="S37" i="1" s="1"/>
  <c r="Q37" i="1"/>
  <c r="R36" i="1"/>
  <c r="S36" i="1" s="1"/>
  <c r="Q36" i="1"/>
  <c r="R35" i="1"/>
  <c r="S35" i="1" s="1"/>
  <c r="Q35" i="1"/>
  <c r="R34" i="1"/>
  <c r="S34" i="1" s="1"/>
  <c r="Q34" i="1"/>
  <c r="R33" i="1"/>
  <c r="S33" i="1" s="1"/>
  <c r="Q33" i="1"/>
  <c r="R32" i="1"/>
  <c r="S32" i="1" s="1"/>
  <c r="Q32" i="1"/>
  <c r="R31" i="1"/>
  <c r="S31" i="1" s="1"/>
  <c r="Q31" i="1"/>
  <c r="R30" i="1"/>
  <c r="S30" i="1" s="1"/>
  <c r="Q30" i="1"/>
  <c r="R29" i="1"/>
  <c r="S29" i="1" s="1"/>
  <c r="Q29" i="1"/>
  <c r="R28" i="1"/>
  <c r="S28" i="1" s="1"/>
  <c r="Q28" i="1"/>
  <c r="R27" i="1"/>
  <c r="S27" i="1" s="1"/>
  <c r="Q27" i="1"/>
  <c r="R26" i="1"/>
  <c r="S26" i="1" s="1"/>
  <c r="Q26" i="1"/>
  <c r="R25" i="1"/>
  <c r="S25" i="1" s="1"/>
  <c r="Q25" i="1"/>
  <c r="R24" i="1"/>
  <c r="S24" i="1" s="1"/>
  <c r="Q24" i="1"/>
  <c r="R23" i="1"/>
  <c r="S23" i="1" s="1"/>
  <c r="Q23" i="1"/>
  <c r="R22" i="1"/>
  <c r="S22" i="1" s="1"/>
  <c r="Q22" i="1"/>
  <c r="R21" i="1"/>
  <c r="S21" i="1" s="1"/>
  <c r="Q21" i="1"/>
  <c r="R20" i="1"/>
  <c r="S20" i="1" s="1"/>
  <c r="Q20" i="1"/>
  <c r="R19" i="1"/>
  <c r="S19" i="1" s="1"/>
  <c r="Q19" i="1"/>
  <c r="R18" i="1"/>
  <c r="S18" i="1" s="1"/>
  <c r="Q18" i="1"/>
  <c r="R17" i="1"/>
  <c r="S17" i="1" s="1"/>
  <c r="Q17" i="1"/>
  <c r="R16" i="1"/>
  <c r="S16" i="1" s="1"/>
  <c r="Q16" i="1"/>
  <c r="R15" i="1"/>
  <c r="S15" i="1" s="1"/>
  <c r="Q15" i="1"/>
  <c r="R14" i="1"/>
  <c r="S14" i="1" s="1"/>
  <c r="Q14" i="1"/>
  <c r="R13" i="1"/>
  <c r="S13" i="1" s="1"/>
  <c r="Q13" i="1"/>
  <c r="R12" i="1"/>
  <c r="S12" i="1" s="1"/>
  <c r="Q12" i="1"/>
  <c r="R11" i="1"/>
  <c r="S11" i="1" s="1"/>
  <c r="Q11" i="1"/>
  <c r="R10" i="1"/>
  <c r="S10" i="1" s="1"/>
  <c r="Q10" i="1"/>
  <c r="R9" i="1"/>
  <c r="S9" i="1" s="1"/>
  <c r="Q9" i="1"/>
  <c r="R8" i="1"/>
  <c r="S8" i="1" s="1"/>
  <c r="Q8" i="1"/>
  <c r="R7" i="1"/>
  <c r="S7" i="1" s="1"/>
  <c r="Q7" i="1"/>
  <c r="R6" i="1"/>
  <c r="Q6" i="1"/>
  <c r="R5" i="1"/>
  <c r="S5" i="1" s="1"/>
  <c r="Q5" i="1"/>
  <c r="R4" i="1"/>
  <c r="S4" i="1" s="1"/>
  <c r="Q4" i="1"/>
  <c r="H7" i="2" l="1"/>
  <c r="H12" i="2" s="1"/>
  <c r="F12" i="2"/>
  <c r="O2" i="1"/>
  <c r="R2" i="1"/>
  <c r="S6" i="1"/>
  <c r="S2" i="1" s="1"/>
</calcChain>
</file>

<file path=xl/sharedStrings.xml><?xml version="1.0" encoding="utf-8"?>
<sst xmlns="http://schemas.openxmlformats.org/spreadsheetml/2006/main" count="1166" uniqueCount="48">
  <si>
    <t>Bill to Account Number</t>
  </si>
  <si>
    <t>FedEx Invoice Number</t>
  </si>
  <si>
    <t>Invoice Date</t>
  </si>
  <si>
    <t>Air Waybill Number</t>
  </si>
  <si>
    <t>Shipper Reference 1</t>
  </si>
  <si>
    <t>Shipping Date</t>
  </si>
  <si>
    <t>Actual Weight</t>
  </si>
  <si>
    <t>Dim Length</t>
  </si>
  <si>
    <t>Dim Width</t>
  </si>
  <si>
    <t>Dim Height</t>
  </si>
  <si>
    <t>Rated Weight Amount</t>
  </si>
  <si>
    <t>Zone Code</t>
  </si>
  <si>
    <t>Freight</t>
  </si>
  <si>
    <t>Demand</t>
  </si>
  <si>
    <t>Other</t>
  </si>
  <si>
    <t>Fuel</t>
  </si>
  <si>
    <t>%</t>
  </si>
  <si>
    <t>Total</t>
  </si>
  <si>
    <t>With GST</t>
  </si>
  <si>
    <t>G</t>
  </si>
  <si>
    <t>Invoice Number</t>
  </si>
  <si>
    <t>Amount</t>
  </si>
  <si>
    <t>Dispute</t>
  </si>
  <si>
    <t>Payment</t>
  </si>
  <si>
    <t>Paid</t>
  </si>
  <si>
    <t>Pending</t>
  </si>
  <si>
    <t>FEDEX August 26 Invoices</t>
  </si>
  <si>
    <t>Payment Done</t>
  </si>
  <si>
    <t>UTR Number</t>
  </si>
  <si>
    <t>Date</t>
  </si>
  <si>
    <t>IDFB6231M1981621</t>
  </si>
  <si>
    <t>IDFB6232M2264056</t>
  </si>
  <si>
    <t>IDFB6232M2262336</t>
  </si>
  <si>
    <t>IDFB6232M2264978</t>
  </si>
  <si>
    <t>IDFB6232M2265478</t>
  </si>
  <si>
    <t>24/07/2026</t>
  </si>
  <si>
    <t>25/07/2026</t>
  </si>
  <si>
    <t>26/07/2026</t>
  </si>
  <si>
    <t>28/07/2026</t>
  </si>
  <si>
    <t>31/07/2026</t>
  </si>
  <si>
    <t>01/08/2026</t>
  </si>
  <si>
    <t>03/08/2026</t>
  </si>
  <si>
    <t>05/08/2026</t>
  </si>
  <si>
    <t>06/08/2026</t>
  </si>
  <si>
    <t>07/08/2026</t>
  </si>
  <si>
    <t>08/08/2026</t>
  </si>
  <si>
    <t>10/08/2026</t>
  </si>
  <si>
    <t>CX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</si>
</sst>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.0_ ;_ * \-#,##0.0_ ;_ * &quot;-&quot;??_ ;_ @_ "/>
    <numFmt numFmtId="165" formatCode="_ * #,##0.00000_ ;_ * \-#,##0.00000_ ;_ * &quot;-&quot;??_ ;_ @_ 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38">
    <xf numFmtId="0" fontId="0" fillId="0" borderId="0" xfId="0"/>
    <xf numFmtId="0" fontId="3" fillId="0" borderId="1" xfId="2" applyFont="1" applyBorder="1"/>
    <xf numFmtId="0" fontId="3" fillId="0" borderId="2" xfId="2" applyFont="1" applyBorder="1"/>
    <xf numFmtId="164" fontId="3" fillId="0" borderId="2" xfId="3" applyNumberFormat="1" applyFont="1" applyBorder="1" applyAlignment="1">
      <alignment horizontal="center"/>
    </xf>
    <xf numFmtId="165" fontId="3" fillId="0" borderId="2" xfId="3" applyNumberFormat="1" applyFont="1" applyBorder="1" applyAlignment="1">
      <alignment horizontal="center"/>
    </xf>
    <xf numFmtId="166" fontId="0" fillId="0" borderId="0" xfId="0" applyNumberFormat="1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5" fillId="0" borderId="0" xfId="0" applyFont="1"/>
    <xf numFmtId="0" fontId="6" fillId="2" borderId="5" xfId="0" applyFont="1" applyFill="1" applyBorder="1"/>
    <xf numFmtId="43" fontId="6" fillId="2" borderId="5" xfId="1" applyFont="1" applyFill="1" applyBorder="1"/>
    <xf numFmtId="0" fontId="7" fillId="0" borderId="5" xfId="0" applyFont="1" applyBorder="1"/>
    <xf numFmtId="14" fontId="7" fillId="0" borderId="5" xfId="0" applyNumberFormat="1" applyFont="1" applyBorder="1"/>
    <xf numFmtId="43" fontId="7" fillId="0" borderId="5" xfId="1" applyFont="1" applyBorder="1"/>
    <xf numFmtId="0" fontId="5" fillId="0" borderId="5" xfId="0" applyFont="1" applyBorder="1"/>
    <xf numFmtId="0" fontId="0" fillId="0" borderId="5" xfId="0" applyBorder="1"/>
    <xf numFmtId="14" fontId="0" fillId="0" borderId="5" xfId="0" applyNumberFormat="1" applyBorder="1"/>
    <xf numFmtId="0" fontId="0" fillId="3" borderId="0" xfId="0" applyFill="1"/>
    <xf numFmtId="1" fontId="0" fillId="3" borderId="0" xfId="0" applyNumberFormat="1" applyFill="1"/>
    <xf numFmtId="0" fontId="3" fillId="3" borderId="2" xfId="2" applyFont="1" applyFill="1" applyBorder="1"/>
    <xf numFmtId="1" fontId="3" fillId="3" borderId="2" xfId="2" applyNumberFormat="1" applyFont="1" applyFill="1" applyBorder="1"/>
    <xf numFmtId="14" fontId="0" fillId="3" borderId="0" xfId="0" applyNumberFormat="1" applyFill="1"/>
    <xf numFmtId="4" fontId="0" fillId="3" borderId="0" xfId="0" applyNumberFormat="1" applyFill="1"/>
    <xf numFmtId="164" fontId="3" fillId="3" borderId="2" xfId="3" applyNumberFormat="1" applyFont="1" applyFill="1" applyBorder="1" applyAlignment="1">
      <alignment horizontal="center"/>
    </xf>
    <xf numFmtId="43" fontId="1" fillId="3" borderId="2" xfId="1" applyFill="1" applyBorder="1" applyAlignment="1">
      <alignment horizontal="center"/>
    </xf>
    <xf numFmtId="4" fontId="4" fillId="3" borderId="3" xfId="0" applyNumberFormat="1" applyFont="1" applyFill="1" applyBorder="1"/>
    <xf numFmtId="43" fontId="1" fillId="3" borderId="0" xfId="1" applyFill="1"/>
    <xf numFmtId="4" fontId="4" fillId="3" borderId="4" xfId="0" applyNumberFormat="1" applyFont="1" applyFill="1" applyBorder="1"/>
    <xf numFmtId="0" fontId="0" fillId="4" borderId="0" xfId="0" applyFill="1"/>
    <xf numFmtId="2" fontId="0" fillId="4" borderId="0" xfId="0" applyNumberFormat="1" applyFill="1"/>
    <xf numFmtId="4" fontId="0" fillId="4" borderId="0" xfId="0" applyNumberFormat="1" applyFill="1"/>
    <xf numFmtId="166" fontId="0" fillId="4" borderId="0" xfId="0" applyNumberFormat="1" applyFill="1"/>
    <xf numFmtId="4" fontId="4" fillId="4" borderId="3" xfId="0" applyNumberFormat="1" applyFont="1" applyFill="1" applyBorder="1"/>
    <xf numFmtId="43" fontId="1" fillId="4" borderId="0" xfId="1" applyFill="1"/>
    <xf numFmtId="43" fontId="1" fillId="0" borderId="5" xfId="1" applyBorder="1"/>
    <xf numFmtId="1" fontId="0" fillId="4" borderId="0" xfId="0" applyNumberFormat="1" applyFill="1"/>
    <xf numFmtId="0" fontId="0" fillId="0" borderId="0" xfId="0" applyNumberFormat="1"/>
  </cellXfs>
  <cellStyles count="4">
    <cellStyle name="Comma" xfId="1" builtinId="3"/>
    <cellStyle name="Comma 2" xfId="3" xr:uid="{BEF82741-3C95-4059-A48C-EF9B8A1F00AE}"/>
    <cellStyle name="Normal" xfId="0" builtinId="0"/>
    <cellStyle name="Normal 3" xfId="2" xr:uid="{04791664-CEC9-4CBE-9BF3-5FC26A4C66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B3FCE-27F4-42A5-8B6B-503FD576BA30}">
  <dimension ref="A1:S1351"/>
  <sheetViews>
    <sheetView tabSelected="1" topLeftCell="A3" workbookViewId="0">
      <selection activeCell="A3" sqref="A3"/>
    </sheetView>
  </sheetViews>
  <sheetFormatPr defaultRowHeight="14.4" x14ac:dyDescent="0.3"/>
  <cols>
    <col min="1" max="1" width="20.6640625" bestFit="1" customWidth="1"/>
    <col min="2" max="2" width="20" style="18" bestFit="1" customWidth="1"/>
    <col min="3" max="3" width="11.44140625" style="18" bestFit="1" customWidth="1"/>
    <col min="4" max="4" width="17.5546875" style="19" bestFit="1" customWidth="1"/>
    <col min="5" max="5" width="18" bestFit="1" customWidth="1"/>
    <col min="6" max="6" width="12.6640625" bestFit="1" customWidth="1"/>
    <col min="7" max="7" width="12.77734375" bestFit="1" customWidth="1"/>
    <col min="8" max="8" width="10.5546875" bestFit="1" customWidth="1"/>
    <col min="9" max="9" width="9.88671875" bestFit="1" customWidth="1"/>
    <col min="10" max="10" width="10.21875" bestFit="1" customWidth="1"/>
    <col min="11" max="11" width="19.88671875" bestFit="1" customWidth="1"/>
    <col min="12" max="12" width="10" bestFit="1" customWidth="1"/>
    <col min="13" max="13" width="11.44140625" bestFit="1" customWidth="1"/>
    <col min="14" max="15" width="10.44140625" bestFit="1" customWidth="1"/>
    <col min="16" max="16" width="11.44140625" bestFit="1" customWidth="1"/>
    <col min="17" max="17" width="3.5546875" bestFit="1" customWidth="1"/>
    <col min="18" max="19" width="11.44140625" style="18" bestFit="1" customWidth="1"/>
    <col min="20" max="20" width="3.21875" bestFit="1" customWidth="1"/>
  </cols>
  <sheetData>
    <row r="1" spans="1:19" x14ac:dyDescent="0.3">
      <c r="R1" s="23"/>
      <c r="S1" s="23"/>
    </row>
    <row r="2" spans="1:19" ht="15" thickBot="1" x14ac:dyDescent="0.35">
      <c r="M2" s="8">
        <f>SUM(M4:M6638)</f>
        <v>1651284.1999999972</v>
      </c>
      <c r="N2" s="8">
        <f t="shared" ref="N2:S2" si="0">SUM(N4:N6638)</f>
        <v>242700.5</v>
      </c>
      <c r="O2" s="8">
        <f>SUM(O4:O6638)</f>
        <v>99020</v>
      </c>
      <c r="P2" s="8">
        <f t="shared" si="0"/>
        <v>840377.70000000275</v>
      </c>
      <c r="Q2" s="8"/>
      <c r="R2" s="23">
        <f t="shared" si="0"/>
        <v>2833382.399999998</v>
      </c>
      <c r="S2" s="23">
        <f t="shared" si="0"/>
        <v>3343391.2319999859</v>
      </c>
    </row>
    <row r="3" spans="1:19" ht="15" thickBot="1" x14ac:dyDescent="0.35">
      <c r="A3" s="1" t="s">
        <v>0</v>
      </c>
      <c r="B3" s="20" t="s">
        <v>1</v>
      </c>
      <c r="C3" s="20" t="s">
        <v>2</v>
      </c>
      <c r="D3" s="21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4" t="s">
        <v>16</v>
      </c>
      <c r="R3" s="24" t="s">
        <v>17</v>
      </c>
      <c r="S3" s="25" t="s">
        <v>18</v>
      </c>
    </row>
    <row r="4" spans="1:19" x14ac:dyDescent="0.3">
      <c r="A4">
        <v>200010076</v>
      </c>
      <c r="B4" s="18">
        <v>273723367</v>
      </c>
      <c r="C4" s="22">
        <v>46251</v>
      </c>
      <c r="D4" s="19">
        <v>874746435857</v>
      </c>
      <c r="E4" s="37">
        <v>43289</v>
      </c>
      <c r="F4" t="s">
        <v>35</v>
      </c>
      <c r="G4">
        <v>0.5</v>
      </c>
      <c r="K4">
        <v>0.5</v>
      </c>
      <c r="L4" t="s">
        <v>19</v>
      </c>
      <c r="M4">
        <v>1031.7</v>
      </c>
      <c r="N4">
        <v>42.5</v>
      </c>
      <c r="O4" s="8">
        <v>0</v>
      </c>
      <c r="P4" s="8">
        <v>427</v>
      </c>
      <c r="Q4" s="5">
        <f>+P4/SUM(M4:O4)</f>
        <v>0.39750512008936884</v>
      </c>
      <c r="R4" s="26">
        <f>SUM(M4:P4)</f>
        <v>1501.2</v>
      </c>
      <c r="S4" s="27">
        <f>+R4*1.18</f>
        <v>1771.4159999999999</v>
      </c>
    </row>
    <row r="5" spans="1:19" x14ac:dyDescent="0.3">
      <c r="A5">
        <v>200010076</v>
      </c>
      <c r="B5" s="18">
        <v>273723367</v>
      </c>
      <c r="C5" s="22">
        <v>46251</v>
      </c>
      <c r="D5" s="19">
        <v>874803779431</v>
      </c>
      <c r="E5" s="37">
        <v>41635</v>
      </c>
      <c r="F5" t="s">
        <v>36</v>
      </c>
      <c r="G5">
        <v>4</v>
      </c>
      <c r="K5">
        <v>4</v>
      </c>
      <c r="L5" t="s">
        <v>19</v>
      </c>
      <c r="M5">
        <v>1966.1</v>
      </c>
      <c r="N5">
        <v>264</v>
      </c>
      <c r="O5">
        <v>180</v>
      </c>
      <c r="P5">
        <v>886.5</v>
      </c>
      <c r="Q5" s="5">
        <f t="shared" ref="Q5:Q68" si="1">+P5/SUM(M5:O5)</f>
        <v>0.36782706111779595</v>
      </c>
      <c r="R5" s="26">
        <f t="shared" ref="R5:R68" si="2">SUM(M5:P5)</f>
        <v>3296.6</v>
      </c>
      <c r="S5" s="27">
        <f t="shared" ref="S5:S68" si="3">+R5*1.18</f>
        <v>3889.9879999999998</v>
      </c>
    </row>
    <row r="6" spans="1:19" x14ac:dyDescent="0.3">
      <c r="A6">
        <v>200010076</v>
      </c>
      <c r="B6" s="18">
        <v>273723367</v>
      </c>
      <c r="C6" s="22">
        <v>46251</v>
      </c>
      <c r="D6" s="19">
        <v>874877072348</v>
      </c>
      <c r="E6" s="37">
        <v>40614</v>
      </c>
      <c r="F6" t="s">
        <v>36</v>
      </c>
      <c r="G6">
        <v>6.5</v>
      </c>
      <c r="H6">
        <v>47</v>
      </c>
      <c r="I6">
        <v>36</v>
      </c>
      <c r="J6">
        <v>21</v>
      </c>
      <c r="K6">
        <v>6.5</v>
      </c>
      <c r="L6" t="s">
        <v>19</v>
      </c>
      <c r="M6">
        <v>2724.1</v>
      </c>
      <c r="N6">
        <v>429</v>
      </c>
      <c r="O6" s="8">
        <v>210</v>
      </c>
      <c r="P6" s="8">
        <v>1253.4000000000001</v>
      </c>
      <c r="Q6" s="5">
        <f t="shared" si="1"/>
        <v>0.37269186167524015</v>
      </c>
      <c r="R6" s="26">
        <f t="shared" si="2"/>
        <v>4616.5</v>
      </c>
      <c r="S6" s="27">
        <f t="shared" si="3"/>
        <v>5447.4699999999993</v>
      </c>
    </row>
    <row r="7" spans="1:19" x14ac:dyDescent="0.3">
      <c r="A7">
        <v>200010076</v>
      </c>
      <c r="B7" s="18">
        <v>273723367</v>
      </c>
      <c r="C7" s="22">
        <v>46251</v>
      </c>
      <c r="D7" s="19">
        <v>874877072521</v>
      </c>
      <c r="E7" s="37">
        <v>7871443</v>
      </c>
      <c r="F7" t="s">
        <v>36</v>
      </c>
      <c r="G7">
        <v>3</v>
      </c>
      <c r="H7">
        <v>31</v>
      </c>
      <c r="I7">
        <v>27</v>
      </c>
      <c r="J7">
        <v>12</v>
      </c>
      <c r="K7">
        <v>3</v>
      </c>
      <c r="L7" t="s">
        <v>19</v>
      </c>
      <c r="M7">
        <v>1700.6</v>
      </c>
      <c r="N7">
        <v>198</v>
      </c>
      <c r="O7">
        <v>180</v>
      </c>
      <c r="P7">
        <v>754.7</v>
      </c>
      <c r="Q7" s="5">
        <f t="shared" si="1"/>
        <v>0.36308091984989899</v>
      </c>
      <c r="R7" s="26">
        <f t="shared" si="2"/>
        <v>2833.3</v>
      </c>
      <c r="S7" s="27">
        <f t="shared" si="3"/>
        <v>3343.2939999999999</v>
      </c>
    </row>
    <row r="8" spans="1:19" x14ac:dyDescent="0.3">
      <c r="A8">
        <v>200010076</v>
      </c>
      <c r="B8" s="18">
        <v>273723367</v>
      </c>
      <c r="C8" s="22">
        <v>46251</v>
      </c>
      <c r="D8" s="19">
        <v>874877076365</v>
      </c>
      <c r="E8" s="37">
        <v>39882</v>
      </c>
      <c r="F8" t="s">
        <v>36</v>
      </c>
      <c r="G8">
        <v>15</v>
      </c>
      <c r="H8">
        <v>60</v>
      </c>
      <c r="I8">
        <v>38</v>
      </c>
      <c r="J8">
        <v>37</v>
      </c>
      <c r="K8">
        <v>15</v>
      </c>
      <c r="L8" t="s">
        <v>19</v>
      </c>
      <c r="M8">
        <v>6111.3</v>
      </c>
      <c r="N8">
        <v>990</v>
      </c>
      <c r="O8" s="8">
        <v>180</v>
      </c>
      <c r="P8">
        <v>2822.8</v>
      </c>
      <c r="Q8" s="5">
        <f t="shared" si="1"/>
        <v>0.38767802452858696</v>
      </c>
      <c r="R8" s="26">
        <f t="shared" si="2"/>
        <v>10104.1</v>
      </c>
      <c r="S8" s="27">
        <f t="shared" si="3"/>
        <v>11922.838</v>
      </c>
    </row>
    <row r="9" spans="1:19" x14ac:dyDescent="0.3">
      <c r="A9">
        <v>200010076</v>
      </c>
      <c r="B9" s="18">
        <v>273723367</v>
      </c>
      <c r="C9" s="22">
        <v>46251</v>
      </c>
      <c r="D9" s="19">
        <v>874877077166</v>
      </c>
      <c r="E9" s="37">
        <v>40223</v>
      </c>
      <c r="F9" t="s">
        <v>36</v>
      </c>
      <c r="G9">
        <v>3.5</v>
      </c>
      <c r="H9">
        <v>50</v>
      </c>
      <c r="I9">
        <v>20</v>
      </c>
      <c r="J9">
        <v>18</v>
      </c>
      <c r="K9">
        <v>3.5</v>
      </c>
      <c r="L9" t="s">
        <v>19</v>
      </c>
      <c r="M9">
        <v>1833.3</v>
      </c>
      <c r="N9">
        <v>231</v>
      </c>
      <c r="O9" s="8">
        <v>180</v>
      </c>
      <c r="P9">
        <v>820.6</v>
      </c>
      <c r="Q9" s="5">
        <f t="shared" si="1"/>
        <v>0.36563739250545824</v>
      </c>
      <c r="R9" s="26">
        <f t="shared" si="2"/>
        <v>3064.9</v>
      </c>
      <c r="S9" s="27">
        <f t="shared" si="3"/>
        <v>3616.5819999999999</v>
      </c>
    </row>
    <row r="10" spans="1:19" x14ac:dyDescent="0.3">
      <c r="A10">
        <v>200010076</v>
      </c>
      <c r="B10" s="18">
        <v>273723367</v>
      </c>
      <c r="C10" s="22">
        <v>46251</v>
      </c>
      <c r="D10" s="19">
        <v>874877078780</v>
      </c>
      <c r="E10" s="37">
        <v>40249</v>
      </c>
      <c r="F10" t="s">
        <v>36</v>
      </c>
      <c r="G10">
        <v>2</v>
      </c>
      <c r="H10">
        <v>50</v>
      </c>
      <c r="I10">
        <v>17</v>
      </c>
      <c r="J10">
        <v>13</v>
      </c>
      <c r="K10">
        <v>2</v>
      </c>
      <c r="L10" t="s">
        <v>19</v>
      </c>
      <c r="M10">
        <v>1512.5</v>
      </c>
      <c r="N10">
        <v>132</v>
      </c>
      <c r="O10" s="8">
        <v>0</v>
      </c>
      <c r="P10">
        <v>653.70000000000005</v>
      </c>
      <c r="Q10" s="5">
        <f t="shared" si="1"/>
        <v>0.39750684098510186</v>
      </c>
      <c r="R10" s="26">
        <f t="shared" si="2"/>
        <v>2298.1999999999998</v>
      </c>
      <c r="S10" s="27">
        <f t="shared" si="3"/>
        <v>2711.8759999999997</v>
      </c>
    </row>
    <row r="11" spans="1:19" x14ac:dyDescent="0.3">
      <c r="A11">
        <v>200010076</v>
      </c>
      <c r="B11" s="18">
        <v>273723367</v>
      </c>
      <c r="C11" s="22">
        <v>46251</v>
      </c>
      <c r="D11" s="19">
        <v>874877079412</v>
      </c>
      <c r="E11" s="37">
        <v>40328</v>
      </c>
      <c r="F11" t="s">
        <v>36</v>
      </c>
      <c r="G11">
        <v>17.5</v>
      </c>
      <c r="H11">
        <v>75</v>
      </c>
      <c r="I11">
        <v>37</v>
      </c>
      <c r="J11">
        <v>36</v>
      </c>
      <c r="K11">
        <v>17.5</v>
      </c>
      <c r="L11" t="s">
        <v>19</v>
      </c>
      <c r="M11">
        <v>6964.7</v>
      </c>
      <c r="N11">
        <v>1155</v>
      </c>
      <c r="O11" s="8">
        <v>180</v>
      </c>
      <c r="P11" s="8">
        <v>3227.6</v>
      </c>
      <c r="Q11" s="5">
        <f t="shared" si="1"/>
        <v>0.38888152583828328</v>
      </c>
      <c r="R11" s="26">
        <f t="shared" si="2"/>
        <v>11527.300000000001</v>
      </c>
      <c r="S11" s="27">
        <f t="shared" si="3"/>
        <v>13602.214</v>
      </c>
    </row>
    <row r="12" spans="1:19" x14ac:dyDescent="0.3">
      <c r="A12">
        <v>200010076</v>
      </c>
      <c r="B12" s="18">
        <v>273723367</v>
      </c>
      <c r="C12" s="22">
        <v>46251</v>
      </c>
      <c r="D12" s="19">
        <v>874877080243</v>
      </c>
      <c r="E12" s="37">
        <v>40365</v>
      </c>
      <c r="F12" t="s">
        <v>36</v>
      </c>
      <c r="G12">
        <v>7.5</v>
      </c>
      <c r="H12">
        <v>66</v>
      </c>
      <c r="I12">
        <v>25</v>
      </c>
      <c r="J12">
        <v>25</v>
      </c>
      <c r="K12">
        <v>7.5</v>
      </c>
      <c r="L12" t="s">
        <v>19</v>
      </c>
      <c r="M12">
        <v>2954.2</v>
      </c>
      <c r="N12">
        <v>495</v>
      </c>
      <c r="O12" s="8">
        <v>180</v>
      </c>
      <c r="P12">
        <v>1371.1</v>
      </c>
      <c r="Q12" s="5">
        <f t="shared" si="1"/>
        <v>0.37779675961644438</v>
      </c>
      <c r="R12" s="26">
        <f t="shared" si="2"/>
        <v>5000.2999999999993</v>
      </c>
      <c r="S12" s="27">
        <f t="shared" si="3"/>
        <v>5900.3539999999985</v>
      </c>
    </row>
    <row r="13" spans="1:19" x14ac:dyDescent="0.3">
      <c r="A13">
        <v>200010076</v>
      </c>
      <c r="B13" s="18">
        <v>273723367</v>
      </c>
      <c r="C13" s="22">
        <v>46251</v>
      </c>
      <c r="D13" s="19">
        <v>874877081099</v>
      </c>
      <c r="E13" s="37">
        <v>40527</v>
      </c>
      <c r="F13" t="s">
        <v>36</v>
      </c>
      <c r="G13">
        <v>3.5</v>
      </c>
      <c r="H13">
        <v>48</v>
      </c>
      <c r="I13">
        <v>19</v>
      </c>
      <c r="J13">
        <v>19</v>
      </c>
      <c r="K13">
        <v>3.5</v>
      </c>
      <c r="L13" t="s">
        <v>19</v>
      </c>
      <c r="M13">
        <v>1833.3</v>
      </c>
      <c r="N13">
        <v>231</v>
      </c>
      <c r="O13" s="8">
        <v>180</v>
      </c>
      <c r="P13" s="8">
        <v>820.6</v>
      </c>
      <c r="Q13" s="5">
        <f t="shared" si="1"/>
        <v>0.36563739250545824</v>
      </c>
      <c r="R13" s="26">
        <f t="shared" si="2"/>
        <v>3064.9</v>
      </c>
      <c r="S13" s="27">
        <f t="shared" si="3"/>
        <v>3616.5819999999999</v>
      </c>
    </row>
    <row r="14" spans="1:19" x14ac:dyDescent="0.3">
      <c r="A14">
        <v>200010076</v>
      </c>
      <c r="B14" s="18">
        <v>273723367</v>
      </c>
      <c r="C14" s="22">
        <v>46251</v>
      </c>
      <c r="D14" s="19">
        <v>874877081776</v>
      </c>
      <c r="E14" s="37">
        <v>7871553</v>
      </c>
      <c r="F14" t="s">
        <v>36</v>
      </c>
      <c r="G14">
        <v>5.5</v>
      </c>
      <c r="H14">
        <v>46</v>
      </c>
      <c r="I14">
        <v>35</v>
      </c>
      <c r="J14">
        <v>20</v>
      </c>
      <c r="K14">
        <v>5.5</v>
      </c>
      <c r="L14" t="s">
        <v>19</v>
      </c>
      <c r="M14">
        <v>2494</v>
      </c>
      <c r="N14">
        <v>363</v>
      </c>
      <c r="O14" s="8">
        <v>180</v>
      </c>
      <c r="P14">
        <v>1135.7</v>
      </c>
      <c r="Q14" s="5">
        <f t="shared" si="1"/>
        <v>0.37395456042146857</v>
      </c>
      <c r="R14" s="26">
        <f t="shared" si="2"/>
        <v>4172.7</v>
      </c>
      <c r="S14" s="27">
        <f t="shared" si="3"/>
        <v>4923.7859999999991</v>
      </c>
    </row>
    <row r="15" spans="1:19" x14ac:dyDescent="0.3">
      <c r="A15">
        <v>200010076</v>
      </c>
      <c r="B15" s="18">
        <v>273723367</v>
      </c>
      <c r="C15" s="22">
        <v>46251</v>
      </c>
      <c r="D15" s="19">
        <v>874877082588</v>
      </c>
      <c r="E15" s="37">
        <v>40591</v>
      </c>
      <c r="F15" t="s">
        <v>36</v>
      </c>
      <c r="G15">
        <v>8</v>
      </c>
      <c r="H15">
        <v>46</v>
      </c>
      <c r="I15">
        <v>34</v>
      </c>
      <c r="J15">
        <v>30</v>
      </c>
      <c r="K15">
        <v>8</v>
      </c>
      <c r="L15" t="s">
        <v>19</v>
      </c>
      <c r="M15">
        <v>3069.3</v>
      </c>
      <c r="N15">
        <v>528</v>
      </c>
      <c r="O15" s="8">
        <v>180</v>
      </c>
      <c r="P15">
        <v>1429.9</v>
      </c>
      <c r="Q15" s="5">
        <f t="shared" si="1"/>
        <v>0.37855081672093827</v>
      </c>
      <c r="R15" s="26">
        <f t="shared" si="2"/>
        <v>5207.2000000000007</v>
      </c>
      <c r="S15" s="27">
        <f t="shared" si="3"/>
        <v>6144.4960000000001</v>
      </c>
    </row>
    <row r="16" spans="1:19" x14ac:dyDescent="0.3">
      <c r="A16">
        <v>200010076</v>
      </c>
      <c r="B16" s="18">
        <v>273723367</v>
      </c>
      <c r="C16" s="22">
        <v>46251</v>
      </c>
      <c r="D16" s="19">
        <v>874877082934</v>
      </c>
      <c r="E16" s="37">
        <v>40678</v>
      </c>
      <c r="F16" t="s">
        <v>36</v>
      </c>
      <c r="G16">
        <v>1.5</v>
      </c>
      <c r="H16">
        <v>47</v>
      </c>
      <c r="I16">
        <v>15</v>
      </c>
      <c r="J16">
        <v>12</v>
      </c>
      <c r="K16">
        <v>1.5</v>
      </c>
      <c r="L16" t="s">
        <v>19</v>
      </c>
      <c r="M16">
        <v>1353.7</v>
      </c>
      <c r="N16">
        <v>99</v>
      </c>
      <c r="O16" s="8">
        <v>0</v>
      </c>
      <c r="P16" s="8">
        <v>577.5</v>
      </c>
      <c r="Q16" s="5">
        <f t="shared" si="1"/>
        <v>0.39753562332208991</v>
      </c>
      <c r="R16" s="26">
        <f t="shared" si="2"/>
        <v>2030.2</v>
      </c>
      <c r="S16" s="27">
        <f t="shared" si="3"/>
        <v>2395.636</v>
      </c>
    </row>
    <row r="17" spans="1:19" x14ac:dyDescent="0.3">
      <c r="A17">
        <v>200010076</v>
      </c>
      <c r="B17" s="18">
        <v>273723367</v>
      </c>
      <c r="C17" s="22">
        <v>46251</v>
      </c>
      <c r="D17" s="19">
        <v>874877084396</v>
      </c>
      <c r="E17" s="37">
        <v>7871589</v>
      </c>
      <c r="F17" t="s">
        <v>36</v>
      </c>
      <c r="G17">
        <v>11.5</v>
      </c>
      <c r="H17">
        <v>47</v>
      </c>
      <c r="I17">
        <v>36</v>
      </c>
      <c r="J17">
        <v>25</v>
      </c>
      <c r="K17">
        <v>11.5</v>
      </c>
      <c r="L17" t="s">
        <v>19</v>
      </c>
      <c r="M17">
        <v>4916.5</v>
      </c>
      <c r="N17">
        <v>759</v>
      </c>
      <c r="O17" s="8">
        <v>180</v>
      </c>
      <c r="P17">
        <v>2256</v>
      </c>
      <c r="Q17" s="5">
        <f t="shared" si="1"/>
        <v>0.38527879771155327</v>
      </c>
      <c r="R17" s="26">
        <f t="shared" si="2"/>
        <v>8111.5</v>
      </c>
      <c r="S17" s="27">
        <f t="shared" si="3"/>
        <v>9571.57</v>
      </c>
    </row>
    <row r="18" spans="1:19" x14ac:dyDescent="0.3">
      <c r="A18">
        <v>200010076</v>
      </c>
      <c r="B18" s="18">
        <v>273723367</v>
      </c>
      <c r="C18" s="22">
        <v>46251</v>
      </c>
      <c r="D18" s="19">
        <v>874877086561</v>
      </c>
      <c r="E18" s="37">
        <v>41044</v>
      </c>
      <c r="F18" t="s">
        <v>36</v>
      </c>
      <c r="G18">
        <v>5.5</v>
      </c>
      <c r="H18">
        <v>64</v>
      </c>
      <c r="I18">
        <v>23</v>
      </c>
      <c r="J18">
        <v>21</v>
      </c>
      <c r="K18">
        <v>5.5</v>
      </c>
      <c r="L18" t="s">
        <v>19</v>
      </c>
      <c r="M18">
        <v>2494</v>
      </c>
      <c r="N18">
        <v>363</v>
      </c>
      <c r="O18" s="8">
        <v>180</v>
      </c>
      <c r="P18" s="8">
        <v>1135.7</v>
      </c>
      <c r="Q18" s="5">
        <f t="shared" si="1"/>
        <v>0.37395456042146857</v>
      </c>
      <c r="R18" s="26">
        <f t="shared" si="2"/>
        <v>4172.7</v>
      </c>
      <c r="S18" s="27">
        <f t="shared" si="3"/>
        <v>4923.7859999999991</v>
      </c>
    </row>
    <row r="19" spans="1:19" x14ac:dyDescent="0.3">
      <c r="A19">
        <v>200010076</v>
      </c>
      <c r="B19" s="18">
        <v>273723367</v>
      </c>
      <c r="C19" s="22">
        <v>46251</v>
      </c>
      <c r="D19" s="19">
        <v>874877086790</v>
      </c>
      <c r="E19" s="37">
        <v>40871</v>
      </c>
      <c r="F19" t="s">
        <v>36</v>
      </c>
      <c r="G19">
        <v>7</v>
      </c>
      <c r="H19">
        <v>54</v>
      </c>
      <c r="I19">
        <v>28</v>
      </c>
      <c r="J19">
        <v>26</v>
      </c>
      <c r="K19">
        <v>7</v>
      </c>
      <c r="L19" t="s">
        <v>19</v>
      </c>
      <c r="M19">
        <v>2839.2</v>
      </c>
      <c r="N19">
        <v>462</v>
      </c>
      <c r="O19" s="8">
        <v>180</v>
      </c>
      <c r="P19">
        <v>1312.2</v>
      </c>
      <c r="Q19" s="5">
        <f t="shared" si="1"/>
        <v>0.37693898655635993</v>
      </c>
      <c r="R19" s="26">
        <f t="shared" si="2"/>
        <v>4793.3999999999996</v>
      </c>
      <c r="S19" s="27">
        <f t="shared" si="3"/>
        <v>5656.2119999999995</v>
      </c>
    </row>
    <row r="20" spans="1:19" x14ac:dyDescent="0.3">
      <c r="A20">
        <v>200010076</v>
      </c>
      <c r="B20" s="18">
        <v>273723367</v>
      </c>
      <c r="C20" s="22">
        <v>46251</v>
      </c>
      <c r="D20" s="19">
        <v>874877088325</v>
      </c>
      <c r="E20" s="37">
        <v>41205</v>
      </c>
      <c r="F20" t="s">
        <v>36</v>
      </c>
      <c r="G20">
        <v>9</v>
      </c>
      <c r="H20">
        <v>58</v>
      </c>
      <c r="I20">
        <v>30</v>
      </c>
      <c r="J20">
        <v>30</v>
      </c>
      <c r="K20">
        <v>9</v>
      </c>
      <c r="L20" t="s">
        <v>19</v>
      </c>
      <c r="M20">
        <v>3299.4</v>
      </c>
      <c r="N20">
        <v>594</v>
      </c>
      <c r="O20" s="8">
        <v>180</v>
      </c>
      <c r="P20">
        <v>1547.6</v>
      </c>
      <c r="Q20" s="5">
        <f t="shared" si="1"/>
        <v>0.37992831541218636</v>
      </c>
      <c r="R20" s="26">
        <f t="shared" si="2"/>
        <v>5621</v>
      </c>
      <c r="S20" s="27">
        <f t="shared" si="3"/>
        <v>6632.78</v>
      </c>
    </row>
    <row r="21" spans="1:19" x14ac:dyDescent="0.3">
      <c r="A21">
        <v>200010076</v>
      </c>
      <c r="B21" s="18">
        <v>273723367</v>
      </c>
      <c r="C21" s="22">
        <v>46251</v>
      </c>
      <c r="D21" s="19">
        <v>874877088586</v>
      </c>
      <c r="E21" s="37">
        <v>41267</v>
      </c>
      <c r="F21" t="s">
        <v>36</v>
      </c>
      <c r="G21">
        <v>26</v>
      </c>
      <c r="H21">
        <v>107</v>
      </c>
      <c r="I21">
        <v>38</v>
      </c>
      <c r="J21">
        <v>37</v>
      </c>
      <c r="K21">
        <v>26</v>
      </c>
      <c r="L21" t="s">
        <v>19</v>
      </c>
      <c r="M21">
        <v>10283.700000000001</v>
      </c>
      <c r="N21">
        <v>1716</v>
      </c>
      <c r="O21" s="8">
        <v>2415</v>
      </c>
      <c r="P21" s="8">
        <v>5658.3</v>
      </c>
      <c r="Q21" s="5">
        <f t="shared" si="1"/>
        <v>0.39253678536493997</v>
      </c>
      <c r="R21" s="26">
        <f t="shared" si="2"/>
        <v>20073</v>
      </c>
      <c r="S21" s="27">
        <f t="shared" si="3"/>
        <v>23686.14</v>
      </c>
    </row>
    <row r="22" spans="1:19" x14ac:dyDescent="0.3">
      <c r="A22">
        <v>200010076</v>
      </c>
      <c r="B22" s="18">
        <v>273723367</v>
      </c>
      <c r="C22" s="22">
        <v>46251</v>
      </c>
      <c r="D22" s="19">
        <v>874877089160</v>
      </c>
      <c r="E22" s="37">
        <v>41238</v>
      </c>
      <c r="F22" t="s">
        <v>36</v>
      </c>
      <c r="G22">
        <v>1.5</v>
      </c>
      <c r="H22">
        <v>42</v>
      </c>
      <c r="I22">
        <v>16</v>
      </c>
      <c r="J22">
        <v>13</v>
      </c>
      <c r="K22">
        <v>1.5</v>
      </c>
      <c r="L22" t="s">
        <v>19</v>
      </c>
      <c r="M22">
        <v>1353.7</v>
      </c>
      <c r="N22">
        <v>99</v>
      </c>
      <c r="O22">
        <v>0</v>
      </c>
      <c r="P22">
        <v>577.5</v>
      </c>
      <c r="Q22" s="5">
        <f t="shared" si="1"/>
        <v>0.39753562332208991</v>
      </c>
      <c r="R22" s="26">
        <f t="shared" si="2"/>
        <v>2030.2</v>
      </c>
      <c r="S22" s="27">
        <f t="shared" si="3"/>
        <v>2395.636</v>
      </c>
    </row>
    <row r="23" spans="1:19" x14ac:dyDescent="0.3">
      <c r="A23">
        <v>200010076</v>
      </c>
      <c r="B23" s="18">
        <v>273723367</v>
      </c>
      <c r="C23" s="22">
        <v>46251</v>
      </c>
      <c r="D23" s="19">
        <v>874877090450</v>
      </c>
      <c r="E23" s="37">
        <v>41305</v>
      </c>
      <c r="F23" t="s">
        <v>36</v>
      </c>
      <c r="G23">
        <v>1.5</v>
      </c>
      <c r="H23">
        <v>32</v>
      </c>
      <c r="I23">
        <v>23</v>
      </c>
      <c r="J23">
        <v>10</v>
      </c>
      <c r="K23">
        <v>1.5</v>
      </c>
      <c r="L23" t="s">
        <v>19</v>
      </c>
      <c r="M23">
        <v>1353.7</v>
      </c>
      <c r="N23">
        <v>99</v>
      </c>
      <c r="O23">
        <v>180</v>
      </c>
      <c r="P23" s="8">
        <v>577.5</v>
      </c>
      <c r="Q23" s="5">
        <f t="shared" si="1"/>
        <v>0.35370858087829976</v>
      </c>
      <c r="R23" s="26">
        <f t="shared" si="2"/>
        <v>2210.1999999999998</v>
      </c>
      <c r="S23" s="27">
        <f t="shared" si="3"/>
        <v>2608.0359999999996</v>
      </c>
    </row>
    <row r="24" spans="1:19" x14ac:dyDescent="0.3">
      <c r="A24">
        <v>200010076</v>
      </c>
      <c r="B24" s="18">
        <v>273723367</v>
      </c>
      <c r="C24" s="22">
        <v>46251</v>
      </c>
      <c r="D24" s="19">
        <v>874877091527</v>
      </c>
      <c r="E24" s="37">
        <v>41350</v>
      </c>
      <c r="F24" t="s">
        <v>36</v>
      </c>
      <c r="G24">
        <v>12.5</v>
      </c>
      <c r="H24">
        <v>93</v>
      </c>
      <c r="I24">
        <v>26</v>
      </c>
      <c r="J24">
        <v>24</v>
      </c>
      <c r="K24">
        <v>12.5</v>
      </c>
      <c r="L24" t="s">
        <v>19</v>
      </c>
      <c r="M24">
        <v>5257.8</v>
      </c>
      <c r="N24">
        <v>825</v>
      </c>
      <c r="O24">
        <v>180</v>
      </c>
      <c r="P24">
        <v>2417.9</v>
      </c>
      <c r="Q24" s="5">
        <f t="shared" si="1"/>
        <v>0.38607332183687809</v>
      </c>
      <c r="R24" s="26">
        <f t="shared" si="2"/>
        <v>8680.7000000000007</v>
      </c>
      <c r="S24" s="27">
        <f t="shared" si="3"/>
        <v>10243.226000000001</v>
      </c>
    </row>
    <row r="25" spans="1:19" x14ac:dyDescent="0.3">
      <c r="A25">
        <v>200010076</v>
      </c>
      <c r="B25" s="18">
        <v>273723367</v>
      </c>
      <c r="C25" s="22">
        <v>46251</v>
      </c>
      <c r="D25" s="19">
        <v>874877092512</v>
      </c>
      <c r="E25" s="37">
        <v>41370</v>
      </c>
      <c r="F25" t="s">
        <v>36</v>
      </c>
      <c r="G25">
        <v>17.5</v>
      </c>
      <c r="H25">
        <v>85</v>
      </c>
      <c r="I25">
        <v>35</v>
      </c>
      <c r="J25">
        <v>34</v>
      </c>
      <c r="K25">
        <v>17.5</v>
      </c>
      <c r="L25" t="s">
        <v>19</v>
      </c>
      <c r="M25">
        <v>6964.7</v>
      </c>
      <c r="N25">
        <v>1155</v>
      </c>
      <c r="O25">
        <v>180</v>
      </c>
      <c r="P25" s="8">
        <v>3227.6</v>
      </c>
      <c r="Q25" s="5">
        <f t="shared" si="1"/>
        <v>0.38888152583828328</v>
      </c>
      <c r="R25" s="26">
        <f t="shared" si="2"/>
        <v>11527.300000000001</v>
      </c>
      <c r="S25" s="27">
        <f t="shared" si="3"/>
        <v>13602.214</v>
      </c>
    </row>
    <row r="26" spans="1:19" x14ac:dyDescent="0.3">
      <c r="A26">
        <v>200010076</v>
      </c>
      <c r="B26" s="18">
        <v>273723367</v>
      </c>
      <c r="C26" s="22">
        <v>46251</v>
      </c>
      <c r="D26" s="19">
        <v>874877093302</v>
      </c>
      <c r="E26" s="37">
        <v>41429</v>
      </c>
      <c r="F26" t="s">
        <v>36</v>
      </c>
      <c r="G26">
        <v>6</v>
      </c>
      <c r="H26">
        <v>55</v>
      </c>
      <c r="I26">
        <v>26</v>
      </c>
      <c r="J26">
        <v>24</v>
      </c>
      <c r="K26">
        <v>6</v>
      </c>
      <c r="L26" t="s">
        <v>19</v>
      </c>
      <c r="M26">
        <v>2609.1</v>
      </c>
      <c r="N26">
        <v>396</v>
      </c>
      <c r="O26">
        <v>180</v>
      </c>
      <c r="P26" s="8">
        <v>1194.5</v>
      </c>
      <c r="Q26" s="5">
        <f t="shared" si="1"/>
        <v>0.37502747166493988</v>
      </c>
      <c r="R26" s="26">
        <f t="shared" si="2"/>
        <v>4379.6000000000004</v>
      </c>
      <c r="S26" s="27">
        <f t="shared" si="3"/>
        <v>5167.9279999999999</v>
      </c>
    </row>
    <row r="27" spans="1:19" x14ac:dyDescent="0.3">
      <c r="A27">
        <v>200010076</v>
      </c>
      <c r="B27" s="18">
        <v>273723367</v>
      </c>
      <c r="C27" s="22">
        <v>46251</v>
      </c>
      <c r="D27" s="19">
        <v>874877094099</v>
      </c>
      <c r="E27" s="37">
        <v>41447</v>
      </c>
      <c r="F27" t="s">
        <v>36</v>
      </c>
      <c r="G27">
        <v>8.5</v>
      </c>
      <c r="H27">
        <v>65</v>
      </c>
      <c r="I27">
        <v>28</v>
      </c>
      <c r="J27">
        <v>27</v>
      </c>
      <c r="K27">
        <v>8.5</v>
      </c>
      <c r="L27" t="s">
        <v>19</v>
      </c>
      <c r="M27">
        <v>3184.4</v>
      </c>
      <c r="N27">
        <v>561</v>
      </c>
      <c r="O27">
        <v>180</v>
      </c>
      <c r="P27">
        <v>1488.8</v>
      </c>
      <c r="Q27" s="5">
        <f t="shared" si="1"/>
        <v>0.37927344983950678</v>
      </c>
      <c r="R27" s="26">
        <f t="shared" si="2"/>
        <v>5414.2</v>
      </c>
      <c r="S27" s="27">
        <f t="shared" si="3"/>
        <v>6388.7559999999994</v>
      </c>
    </row>
    <row r="28" spans="1:19" x14ac:dyDescent="0.3">
      <c r="A28">
        <v>200010076</v>
      </c>
      <c r="B28" s="18">
        <v>273723367</v>
      </c>
      <c r="C28" s="22">
        <v>46251</v>
      </c>
      <c r="D28" s="19">
        <v>874877094548</v>
      </c>
      <c r="E28" s="37">
        <v>41453</v>
      </c>
      <c r="F28" t="s">
        <v>36</v>
      </c>
      <c r="G28">
        <v>12.5</v>
      </c>
      <c r="H28">
        <v>118</v>
      </c>
      <c r="I28">
        <v>25</v>
      </c>
      <c r="J28">
        <v>24</v>
      </c>
      <c r="K28">
        <v>12.5</v>
      </c>
      <c r="L28" t="s">
        <v>19</v>
      </c>
      <c r="M28">
        <v>5257.8</v>
      </c>
      <c r="N28">
        <v>825</v>
      </c>
      <c r="O28">
        <v>180</v>
      </c>
      <c r="P28">
        <v>2417.9</v>
      </c>
      <c r="Q28" s="5">
        <f t="shared" si="1"/>
        <v>0.38607332183687809</v>
      </c>
      <c r="R28" s="26">
        <f t="shared" si="2"/>
        <v>8680.7000000000007</v>
      </c>
      <c r="S28" s="27">
        <f t="shared" si="3"/>
        <v>10243.226000000001</v>
      </c>
    </row>
    <row r="29" spans="1:19" x14ac:dyDescent="0.3">
      <c r="A29">
        <v>200010076</v>
      </c>
      <c r="B29" s="18">
        <v>273723367</v>
      </c>
      <c r="C29" s="22">
        <v>46251</v>
      </c>
      <c r="D29" s="19">
        <v>874877095886</v>
      </c>
      <c r="E29" s="37">
        <v>41459</v>
      </c>
      <c r="F29" t="s">
        <v>36</v>
      </c>
      <c r="G29">
        <v>6</v>
      </c>
      <c r="H29">
        <v>53</v>
      </c>
      <c r="I29">
        <v>26</v>
      </c>
      <c r="J29">
        <v>26</v>
      </c>
      <c r="K29">
        <v>6</v>
      </c>
      <c r="L29" t="s">
        <v>19</v>
      </c>
      <c r="M29">
        <v>2609.1</v>
      </c>
      <c r="N29">
        <v>396</v>
      </c>
      <c r="O29">
        <v>180</v>
      </c>
      <c r="P29" s="8">
        <v>1194.5</v>
      </c>
      <c r="Q29" s="5">
        <f t="shared" si="1"/>
        <v>0.37502747166493988</v>
      </c>
      <c r="R29" s="26">
        <f t="shared" si="2"/>
        <v>4379.6000000000004</v>
      </c>
      <c r="S29" s="27">
        <f t="shared" si="3"/>
        <v>5167.9279999999999</v>
      </c>
    </row>
    <row r="30" spans="1:19" x14ac:dyDescent="0.3">
      <c r="A30">
        <v>200010076</v>
      </c>
      <c r="B30" s="18">
        <v>273723367</v>
      </c>
      <c r="C30" s="22">
        <v>46251</v>
      </c>
      <c r="D30" s="19">
        <v>874877096140</v>
      </c>
      <c r="E30" s="37">
        <v>41490</v>
      </c>
      <c r="F30" t="s">
        <v>36</v>
      </c>
      <c r="G30">
        <v>3.5</v>
      </c>
      <c r="H30">
        <v>44</v>
      </c>
      <c r="I30">
        <v>22</v>
      </c>
      <c r="J30">
        <v>21</v>
      </c>
      <c r="K30">
        <v>3.5</v>
      </c>
      <c r="L30" t="s">
        <v>19</v>
      </c>
      <c r="M30">
        <v>1833.3</v>
      </c>
      <c r="N30">
        <v>231</v>
      </c>
      <c r="O30">
        <v>180</v>
      </c>
      <c r="P30" s="8">
        <v>820.6</v>
      </c>
      <c r="Q30" s="5">
        <f t="shared" si="1"/>
        <v>0.36563739250545824</v>
      </c>
      <c r="R30" s="26">
        <f t="shared" si="2"/>
        <v>3064.9</v>
      </c>
      <c r="S30" s="27">
        <f t="shared" si="3"/>
        <v>3616.5819999999999</v>
      </c>
    </row>
    <row r="31" spans="1:19" x14ac:dyDescent="0.3">
      <c r="A31">
        <v>200010076</v>
      </c>
      <c r="B31" s="18">
        <v>273723367</v>
      </c>
      <c r="C31" s="22">
        <v>46251</v>
      </c>
      <c r="D31" s="19">
        <v>874877097591</v>
      </c>
      <c r="E31" s="37">
        <v>41524</v>
      </c>
      <c r="F31" t="s">
        <v>36</v>
      </c>
      <c r="G31">
        <v>3.5</v>
      </c>
      <c r="H31">
        <v>52</v>
      </c>
      <c r="I31">
        <v>19</v>
      </c>
      <c r="J31">
        <v>19</v>
      </c>
      <c r="K31">
        <v>3.5</v>
      </c>
      <c r="L31" t="s">
        <v>19</v>
      </c>
      <c r="M31">
        <v>1833.3</v>
      </c>
      <c r="N31">
        <v>231</v>
      </c>
      <c r="O31">
        <v>180</v>
      </c>
      <c r="P31">
        <v>820.6</v>
      </c>
      <c r="Q31" s="5">
        <f t="shared" si="1"/>
        <v>0.36563739250545824</v>
      </c>
      <c r="R31" s="26">
        <f t="shared" si="2"/>
        <v>3064.9</v>
      </c>
      <c r="S31" s="27">
        <f t="shared" si="3"/>
        <v>3616.5819999999999</v>
      </c>
    </row>
    <row r="32" spans="1:19" x14ac:dyDescent="0.3">
      <c r="A32">
        <v>200010076</v>
      </c>
      <c r="B32" s="18">
        <v>273723367</v>
      </c>
      <c r="C32" s="22">
        <v>46251</v>
      </c>
      <c r="D32" s="19">
        <v>874877097650</v>
      </c>
      <c r="E32" s="37">
        <v>41528</v>
      </c>
      <c r="F32" t="s">
        <v>36</v>
      </c>
      <c r="G32">
        <v>5.5</v>
      </c>
      <c r="H32">
        <v>47</v>
      </c>
      <c r="I32">
        <v>25</v>
      </c>
      <c r="J32">
        <v>25</v>
      </c>
      <c r="K32">
        <v>5.5</v>
      </c>
      <c r="L32" t="s">
        <v>19</v>
      </c>
      <c r="M32">
        <v>2494</v>
      </c>
      <c r="N32">
        <v>363</v>
      </c>
      <c r="O32">
        <v>180</v>
      </c>
      <c r="P32">
        <v>1135.7</v>
      </c>
      <c r="Q32" s="5">
        <f t="shared" si="1"/>
        <v>0.37395456042146857</v>
      </c>
      <c r="R32" s="26">
        <f t="shared" si="2"/>
        <v>4172.7</v>
      </c>
      <c r="S32" s="27">
        <f t="shared" si="3"/>
        <v>4923.7859999999991</v>
      </c>
    </row>
    <row r="33" spans="1:19" x14ac:dyDescent="0.3">
      <c r="A33">
        <v>200010076</v>
      </c>
      <c r="B33" s="18">
        <v>273723367</v>
      </c>
      <c r="C33" s="22">
        <v>46251</v>
      </c>
      <c r="D33" s="19">
        <v>874877098290</v>
      </c>
      <c r="E33" s="37">
        <v>41544</v>
      </c>
      <c r="F33" t="s">
        <v>36</v>
      </c>
      <c r="G33">
        <v>13</v>
      </c>
      <c r="H33">
        <v>65</v>
      </c>
      <c r="I33">
        <v>34</v>
      </c>
      <c r="J33">
        <v>34</v>
      </c>
      <c r="K33">
        <v>13</v>
      </c>
      <c r="L33" t="s">
        <v>19</v>
      </c>
      <c r="M33">
        <v>5428.5</v>
      </c>
      <c r="N33">
        <v>858</v>
      </c>
      <c r="O33">
        <v>180</v>
      </c>
      <c r="P33">
        <v>2498.9</v>
      </c>
      <c r="Q33" s="5">
        <f t="shared" si="1"/>
        <v>0.38643779478852547</v>
      </c>
      <c r="R33" s="26">
        <f t="shared" si="2"/>
        <v>8965.4</v>
      </c>
      <c r="S33" s="27">
        <f t="shared" si="3"/>
        <v>10579.171999999999</v>
      </c>
    </row>
    <row r="34" spans="1:19" x14ac:dyDescent="0.3">
      <c r="A34">
        <v>200010076</v>
      </c>
      <c r="B34" s="18">
        <v>273723367</v>
      </c>
      <c r="C34" s="22">
        <v>46251</v>
      </c>
      <c r="D34" s="19">
        <v>874877098315</v>
      </c>
      <c r="E34" s="37">
        <v>41554</v>
      </c>
      <c r="F34" t="s">
        <v>36</v>
      </c>
      <c r="G34">
        <v>7.5</v>
      </c>
      <c r="H34">
        <v>52</v>
      </c>
      <c r="I34">
        <v>29</v>
      </c>
      <c r="J34">
        <v>29</v>
      </c>
      <c r="K34">
        <v>7.5</v>
      </c>
      <c r="L34" t="s">
        <v>19</v>
      </c>
      <c r="M34">
        <v>2954.2</v>
      </c>
      <c r="N34">
        <v>495</v>
      </c>
      <c r="O34">
        <v>180</v>
      </c>
      <c r="P34">
        <v>1371.1</v>
      </c>
      <c r="Q34" s="5">
        <f t="shared" si="1"/>
        <v>0.37779675961644438</v>
      </c>
      <c r="R34" s="26">
        <f t="shared" si="2"/>
        <v>5000.2999999999993</v>
      </c>
      <c r="S34" s="27">
        <f t="shared" si="3"/>
        <v>5900.3539999999985</v>
      </c>
    </row>
    <row r="35" spans="1:19" x14ac:dyDescent="0.3">
      <c r="A35">
        <v>200010076</v>
      </c>
      <c r="B35" s="18">
        <v>273723367</v>
      </c>
      <c r="C35" s="22">
        <v>46251</v>
      </c>
      <c r="D35" s="19">
        <v>874877100606</v>
      </c>
      <c r="E35" s="37">
        <v>41569</v>
      </c>
      <c r="F35" t="s">
        <v>36</v>
      </c>
      <c r="G35">
        <v>10.5</v>
      </c>
      <c r="H35">
        <v>75</v>
      </c>
      <c r="I35">
        <v>29</v>
      </c>
      <c r="J35">
        <v>28</v>
      </c>
      <c r="K35">
        <v>10.5</v>
      </c>
      <c r="L35" t="s">
        <v>19</v>
      </c>
      <c r="M35">
        <v>4575.1000000000004</v>
      </c>
      <c r="N35">
        <v>693</v>
      </c>
      <c r="O35">
        <v>180</v>
      </c>
      <c r="P35">
        <v>2094.1</v>
      </c>
      <c r="Q35" s="5">
        <f t="shared" si="1"/>
        <v>0.38437253354380424</v>
      </c>
      <c r="R35" s="26">
        <f t="shared" si="2"/>
        <v>7542.2000000000007</v>
      </c>
      <c r="S35" s="27">
        <f t="shared" si="3"/>
        <v>8899.7960000000003</v>
      </c>
    </row>
    <row r="36" spans="1:19" x14ac:dyDescent="0.3">
      <c r="A36">
        <v>200010076</v>
      </c>
      <c r="B36" s="18">
        <v>273723367</v>
      </c>
      <c r="C36" s="22">
        <v>46251</v>
      </c>
      <c r="D36" s="19">
        <v>874877101304</v>
      </c>
      <c r="E36" s="37">
        <v>41575</v>
      </c>
      <c r="F36" t="s">
        <v>36</v>
      </c>
      <c r="G36">
        <v>6</v>
      </c>
      <c r="H36">
        <v>54</v>
      </c>
      <c r="I36">
        <v>25</v>
      </c>
      <c r="J36">
        <v>25</v>
      </c>
      <c r="K36">
        <v>6</v>
      </c>
      <c r="L36" t="s">
        <v>19</v>
      </c>
      <c r="M36">
        <v>2609.1</v>
      </c>
      <c r="N36">
        <v>396</v>
      </c>
      <c r="O36">
        <v>180</v>
      </c>
      <c r="P36" s="8">
        <v>1194.5</v>
      </c>
      <c r="Q36" s="5">
        <f t="shared" si="1"/>
        <v>0.37502747166493988</v>
      </c>
      <c r="R36" s="26">
        <f t="shared" si="2"/>
        <v>4379.6000000000004</v>
      </c>
      <c r="S36" s="27">
        <f t="shared" si="3"/>
        <v>5167.9279999999999</v>
      </c>
    </row>
    <row r="37" spans="1:19" x14ac:dyDescent="0.3">
      <c r="A37">
        <v>200010076</v>
      </c>
      <c r="B37" s="18">
        <v>273723367</v>
      </c>
      <c r="C37" s="22">
        <v>46251</v>
      </c>
      <c r="D37" s="19">
        <v>874877102160</v>
      </c>
      <c r="E37" s="37">
        <v>41684</v>
      </c>
      <c r="F37" t="s">
        <v>36</v>
      </c>
      <c r="G37">
        <v>5</v>
      </c>
      <c r="H37">
        <v>61</v>
      </c>
      <c r="I37">
        <v>22</v>
      </c>
      <c r="J37">
        <v>21</v>
      </c>
      <c r="K37">
        <v>5</v>
      </c>
      <c r="L37" t="s">
        <v>19</v>
      </c>
      <c r="M37">
        <v>2231.6999999999998</v>
      </c>
      <c r="N37">
        <v>330</v>
      </c>
      <c r="O37">
        <v>180</v>
      </c>
      <c r="P37">
        <v>1018.3</v>
      </c>
      <c r="Q37" s="5">
        <f t="shared" si="1"/>
        <v>0.37141189772768723</v>
      </c>
      <c r="R37" s="26">
        <f t="shared" si="2"/>
        <v>3760</v>
      </c>
      <c r="S37" s="27">
        <f t="shared" si="3"/>
        <v>4436.8</v>
      </c>
    </row>
    <row r="38" spans="1:19" x14ac:dyDescent="0.3">
      <c r="A38">
        <v>200010076</v>
      </c>
      <c r="B38" s="18">
        <v>273723367</v>
      </c>
      <c r="C38" s="22">
        <v>46251</v>
      </c>
      <c r="D38" s="19">
        <v>874877102778</v>
      </c>
      <c r="E38" s="37">
        <v>41592</v>
      </c>
      <c r="F38" t="s">
        <v>36</v>
      </c>
      <c r="G38">
        <v>6.5</v>
      </c>
      <c r="H38">
        <v>49</v>
      </c>
      <c r="I38">
        <v>27</v>
      </c>
      <c r="J38">
        <v>27</v>
      </c>
      <c r="K38">
        <v>6.5</v>
      </c>
      <c r="L38" t="s">
        <v>19</v>
      </c>
      <c r="M38">
        <v>2724.1</v>
      </c>
      <c r="N38">
        <v>429</v>
      </c>
      <c r="O38">
        <v>180</v>
      </c>
      <c r="P38">
        <v>1253.4000000000001</v>
      </c>
      <c r="Q38" s="5">
        <f t="shared" si="1"/>
        <v>0.37604632324262705</v>
      </c>
      <c r="R38" s="26">
        <f t="shared" si="2"/>
        <v>4586.5</v>
      </c>
      <c r="S38" s="27">
        <f t="shared" si="3"/>
        <v>5412.07</v>
      </c>
    </row>
    <row r="39" spans="1:19" x14ac:dyDescent="0.3">
      <c r="A39">
        <v>200010076</v>
      </c>
      <c r="B39" s="18">
        <v>273723367</v>
      </c>
      <c r="C39" s="22">
        <v>46251</v>
      </c>
      <c r="D39" s="19">
        <v>874877104325</v>
      </c>
      <c r="E39" s="37">
        <v>41730</v>
      </c>
      <c r="F39" t="s">
        <v>36</v>
      </c>
      <c r="G39">
        <v>4</v>
      </c>
      <c r="H39">
        <v>56</v>
      </c>
      <c r="I39">
        <v>21</v>
      </c>
      <c r="J39">
        <v>19</v>
      </c>
      <c r="K39">
        <v>4</v>
      </c>
      <c r="L39" t="s">
        <v>19</v>
      </c>
      <c r="M39">
        <v>1966.1</v>
      </c>
      <c r="N39">
        <v>264</v>
      </c>
      <c r="O39">
        <v>180</v>
      </c>
      <c r="P39">
        <v>886.5</v>
      </c>
      <c r="Q39" s="5">
        <f t="shared" si="1"/>
        <v>0.36782706111779595</v>
      </c>
      <c r="R39" s="26">
        <f t="shared" si="2"/>
        <v>3296.6</v>
      </c>
      <c r="S39" s="27">
        <f t="shared" si="3"/>
        <v>3889.9879999999998</v>
      </c>
    </row>
    <row r="40" spans="1:19" x14ac:dyDescent="0.3">
      <c r="A40">
        <v>200010076</v>
      </c>
      <c r="B40" s="18">
        <v>273723367</v>
      </c>
      <c r="C40" s="22">
        <v>46251</v>
      </c>
      <c r="D40" s="19">
        <v>874877104759</v>
      </c>
      <c r="E40" s="37">
        <v>41712</v>
      </c>
      <c r="F40" t="s">
        <v>36</v>
      </c>
      <c r="G40">
        <v>29.5</v>
      </c>
      <c r="H40">
        <v>86</v>
      </c>
      <c r="I40">
        <v>46</v>
      </c>
      <c r="J40">
        <v>44</v>
      </c>
      <c r="K40">
        <v>29.5</v>
      </c>
      <c r="L40" t="s">
        <v>19</v>
      </c>
      <c r="M40">
        <v>11619.6</v>
      </c>
      <c r="N40">
        <v>1947</v>
      </c>
      <c r="O40">
        <v>2415</v>
      </c>
      <c r="P40" s="8">
        <v>6281.1</v>
      </c>
      <c r="Q40" s="5">
        <f t="shared" si="1"/>
        <v>0.39302072383240727</v>
      </c>
      <c r="R40" s="26">
        <f t="shared" si="2"/>
        <v>22262.7</v>
      </c>
      <c r="S40" s="27">
        <f t="shared" si="3"/>
        <v>26269.986000000001</v>
      </c>
    </row>
    <row r="41" spans="1:19" x14ac:dyDescent="0.3">
      <c r="A41">
        <v>200010076</v>
      </c>
      <c r="B41" s="18">
        <v>273723367</v>
      </c>
      <c r="C41" s="22">
        <v>46251</v>
      </c>
      <c r="D41" s="19">
        <v>874877106247</v>
      </c>
      <c r="E41" s="37">
        <v>41777</v>
      </c>
      <c r="F41" t="s">
        <v>36</v>
      </c>
      <c r="G41">
        <v>2.5</v>
      </c>
      <c r="H41">
        <v>66</v>
      </c>
      <c r="I41">
        <v>14</v>
      </c>
      <c r="J41">
        <v>13</v>
      </c>
      <c r="K41">
        <v>2.5</v>
      </c>
      <c r="L41" t="s">
        <v>19</v>
      </c>
      <c r="M41">
        <v>1671.3</v>
      </c>
      <c r="N41">
        <v>165</v>
      </c>
      <c r="O41">
        <v>180</v>
      </c>
      <c r="P41" s="8">
        <v>729.9</v>
      </c>
      <c r="Q41" s="5">
        <f t="shared" si="1"/>
        <v>0.36199970242523433</v>
      </c>
      <c r="R41" s="26">
        <f t="shared" si="2"/>
        <v>2746.2</v>
      </c>
      <c r="S41" s="27">
        <f t="shared" si="3"/>
        <v>3240.5159999999996</v>
      </c>
    </row>
    <row r="42" spans="1:19" x14ac:dyDescent="0.3">
      <c r="A42">
        <v>200010076</v>
      </c>
      <c r="B42" s="18">
        <v>273723367</v>
      </c>
      <c r="C42" s="22">
        <v>46251</v>
      </c>
      <c r="D42" s="19">
        <v>874877106946</v>
      </c>
      <c r="E42" s="37">
        <v>41800</v>
      </c>
      <c r="F42" t="s">
        <v>36</v>
      </c>
      <c r="G42">
        <v>3</v>
      </c>
      <c r="H42">
        <v>61</v>
      </c>
      <c r="I42">
        <v>17</v>
      </c>
      <c r="J42">
        <v>14</v>
      </c>
      <c r="K42">
        <v>3</v>
      </c>
      <c r="L42" t="s">
        <v>19</v>
      </c>
      <c r="M42">
        <v>1700.6</v>
      </c>
      <c r="N42">
        <v>198</v>
      </c>
      <c r="O42">
        <v>180</v>
      </c>
      <c r="P42" s="8">
        <v>754.7</v>
      </c>
      <c r="Q42" s="5">
        <f t="shared" si="1"/>
        <v>0.36308091984989899</v>
      </c>
      <c r="R42" s="26">
        <f t="shared" si="2"/>
        <v>2833.3</v>
      </c>
      <c r="S42" s="27">
        <f t="shared" si="3"/>
        <v>3343.2939999999999</v>
      </c>
    </row>
    <row r="43" spans="1:19" x14ac:dyDescent="0.3">
      <c r="A43">
        <v>200010076</v>
      </c>
      <c r="B43" s="18">
        <v>273723367</v>
      </c>
      <c r="C43" s="22">
        <v>46251</v>
      </c>
      <c r="D43" s="19">
        <v>874877107107</v>
      </c>
      <c r="E43" s="37">
        <v>41784</v>
      </c>
      <c r="F43" t="s">
        <v>36</v>
      </c>
      <c r="G43">
        <v>5.5</v>
      </c>
      <c r="H43">
        <v>41</v>
      </c>
      <c r="I43">
        <v>28</v>
      </c>
      <c r="J43">
        <v>25</v>
      </c>
      <c r="K43">
        <v>5.5</v>
      </c>
      <c r="L43" t="s">
        <v>19</v>
      </c>
      <c r="M43">
        <v>2494</v>
      </c>
      <c r="N43">
        <v>363</v>
      </c>
      <c r="O43">
        <v>180</v>
      </c>
      <c r="P43" s="8">
        <v>1135.7</v>
      </c>
      <c r="Q43" s="5">
        <f t="shared" si="1"/>
        <v>0.37395456042146857</v>
      </c>
      <c r="R43" s="26">
        <f t="shared" si="2"/>
        <v>4172.7</v>
      </c>
      <c r="S43" s="27">
        <f t="shared" si="3"/>
        <v>4923.7859999999991</v>
      </c>
    </row>
    <row r="44" spans="1:19" x14ac:dyDescent="0.3">
      <c r="A44">
        <v>200010076</v>
      </c>
      <c r="B44" s="18">
        <v>273723367</v>
      </c>
      <c r="C44" s="22">
        <v>46251</v>
      </c>
      <c r="D44" s="19">
        <v>874877107986</v>
      </c>
      <c r="E44" s="37">
        <v>41859</v>
      </c>
      <c r="F44" t="s">
        <v>36</v>
      </c>
      <c r="G44">
        <v>18.5</v>
      </c>
      <c r="H44">
        <v>65</v>
      </c>
      <c r="I44">
        <v>42</v>
      </c>
      <c r="J44">
        <v>20</v>
      </c>
      <c r="K44">
        <v>18.5</v>
      </c>
      <c r="L44" t="s">
        <v>19</v>
      </c>
      <c r="M44">
        <v>7306.1</v>
      </c>
      <c r="N44">
        <v>1221</v>
      </c>
      <c r="O44">
        <v>180</v>
      </c>
      <c r="P44">
        <v>3389.5</v>
      </c>
      <c r="Q44" s="5">
        <f t="shared" si="1"/>
        <v>0.38928001286306574</v>
      </c>
      <c r="R44" s="26">
        <f t="shared" si="2"/>
        <v>12096.6</v>
      </c>
      <c r="S44" s="27">
        <f t="shared" si="3"/>
        <v>14273.987999999999</v>
      </c>
    </row>
    <row r="45" spans="1:19" x14ac:dyDescent="0.3">
      <c r="A45">
        <v>200010076</v>
      </c>
      <c r="B45" s="18">
        <v>273723367</v>
      </c>
      <c r="C45" s="22">
        <v>46251</v>
      </c>
      <c r="D45" s="19">
        <v>874877108170</v>
      </c>
      <c r="E45" s="37">
        <v>41825</v>
      </c>
      <c r="F45" t="s">
        <v>36</v>
      </c>
      <c r="G45">
        <v>9</v>
      </c>
      <c r="H45">
        <v>59</v>
      </c>
      <c r="I45">
        <v>31</v>
      </c>
      <c r="J45">
        <v>28</v>
      </c>
      <c r="K45">
        <v>9</v>
      </c>
      <c r="L45" t="s">
        <v>19</v>
      </c>
      <c r="M45">
        <v>3299.4</v>
      </c>
      <c r="N45">
        <v>594</v>
      </c>
      <c r="O45" s="8">
        <v>180</v>
      </c>
      <c r="P45" s="8">
        <v>1547.6</v>
      </c>
      <c r="Q45" s="5">
        <f t="shared" si="1"/>
        <v>0.37992831541218636</v>
      </c>
      <c r="R45" s="26">
        <f t="shared" si="2"/>
        <v>5621</v>
      </c>
      <c r="S45" s="27">
        <f t="shared" si="3"/>
        <v>6632.78</v>
      </c>
    </row>
    <row r="46" spans="1:19" x14ac:dyDescent="0.3">
      <c r="A46">
        <v>200010076</v>
      </c>
      <c r="B46" s="18">
        <v>273723367</v>
      </c>
      <c r="C46" s="22">
        <v>46251</v>
      </c>
      <c r="D46" s="19">
        <v>874877109820</v>
      </c>
      <c r="E46" s="37">
        <v>41918</v>
      </c>
      <c r="F46" t="s">
        <v>36</v>
      </c>
      <c r="G46">
        <v>10</v>
      </c>
      <c r="H46">
        <v>64</v>
      </c>
      <c r="I46">
        <v>30</v>
      </c>
      <c r="J46">
        <v>29</v>
      </c>
      <c r="K46">
        <v>10</v>
      </c>
      <c r="L46" t="s">
        <v>19</v>
      </c>
      <c r="M46">
        <v>3529.5</v>
      </c>
      <c r="N46">
        <v>660</v>
      </c>
      <c r="O46" s="8">
        <v>180</v>
      </c>
      <c r="P46">
        <v>1665.3</v>
      </c>
      <c r="Q46" s="5">
        <f t="shared" si="1"/>
        <v>0.38111912118091312</v>
      </c>
      <c r="R46" s="26">
        <f t="shared" si="2"/>
        <v>6034.8</v>
      </c>
      <c r="S46" s="27">
        <f t="shared" si="3"/>
        <v>7121.0639999999994</v>
      </c>
    </row>
    <row r="47" spans="1:19" x14ac:dyDescent="0.3">
      <c r="A47">
        <v>200010076</v>
      </c>
      <c r="B47" s="18">
        <v>273723367</v>
      </c>
      <c r="C47" s="22">
        <v>46251</v>
      </c>
      <c r="D47" s="19">
        <v>874877110169</v>
      </c>
      <c r="E47" s="37">
        <v>41933</v>
      </c>
      <c r="F47" t="s">
        <v>36</v>
      </c>
      <c r="G47">
        <v>4</v>
      </c>
      <c r="H47">
        <v>30</v>
      </c>
      <c r="I47">
        <v>27</v>
      </c>
      <c r="J47">
        <v>23</v>
      </c>
      <c r="K47">
        <v>4</v>
      </c>
      <c r="L47" t="s">
        <v>19</v>
      </c>
      <c r="M47">
        <v>1966.1</v>
      </c>
      <c r="N47">
        <v>264</v>
      </c>
      <c r="O47" s="8">
        <v>245</v>
      </c>
      <c r="P47">
        <v>886.5</v>
      </c>
      <c r="Q47" s="5">
        <f t="shared" si="1"/>
        <v>0.35816734677386775</v>
      </c>
      <c r="R47" s="26">
        <f t="shared" si="2"/>
        <v>3361.6</v>
      </c>
      <c r="S47" s="27">
        <f t="shared" si="3"/>
        <v>3966.6879999999996</v>
      </c>
    </row>
    <row r="48" spans="1:19" x14ac:dyDescent="0.3">
      <c r="A48">
        <v>200010076</v>
      </c>
      <c r="B48" s="18">
        <v>273723367</v>
      </c>
      <c r="C48" s="22">
        <v>46251</v>
      </c>
      <c r="D48" s="19">
        <v>874877111750</v>
      </c>
      <c r="E48" s="37">
        <v>41919</v>
      </c>
      <c r="F48" t="s">
        <v>36</v>
      </c>
      <c r="G48">
        <v>5</v>
      </c>
      <c r="H48">
        <v>54</v>
      </c>
      <c r="I48">
        <v>25</v>
      </c>
      <c r="J48">
        <v>21</v>
      </c>
      <c r="K48">
        <v>5</v>
      </c>
      <c r="L48" t="s">
        <v>19</v>
      </c>
      <c r="M48">
        <v>2231.6999999999998</v>
      </c>
      <c r="N48">
        <v>330</v>
      </c>
      <c r="O48" s="8">
        <v>180</v>
      </c>
      <c r="P48" s="8">
        <v>1018.3</v>
      </c>
      <c r="Q48" s="5">
        <f t="shared" si="1"/>
        <v>0.37141189772768723</v>
      </c>
      <c r="R48" s="26">
        <f t="shared" si="2"/>
        <v>3760</v>
      </c>
      <c r="S48" s="27">
        <f t="shared" si="3"/>
        <v>4436.8</v>
      </c>
    </row>
    <row r="49" spans="1:19" x14ac:dyDescent="0.3">
      <c r="A49">
        <v>200010076</v>
      </c>
      <c r="B49" s="18">
        <v>273723367</v>
      </c>
      <c r="C49" s="22">
        <v>46251</v>
      </c>
      <c r="D49" s="19">
        <v>874877111967</v>
      </c>
      <c r="E49" s="37">
        <v>42727</v>
      </c>
      <c r="F49" t="s">
        <v>36</v>
      </c>
      <c r="G49">
        <v>4.5</v>
      </c>
      <c r="H49">
        <v>50</v>
      </c>
      <c r="I49">
        <v>24</v>
      </c>
      <c r="J49">
        <v>22</v>
      </c>
      <c r="K49">
        <v>4.5</v>
      </c>
      <c r="L49" t="s">
        <v>19</v>
      </c>
      <c r="M49">
        <v>2098.9</v>
      </c>
      <c r="N49">
        <v>297</v>
      </c>
      <c r="O49" s="8">
        <v>180</v>
      </c>
      <c r="P49" s="8">
        <v>952.4</v>
      </c>
      <c r="Q49" s="5">
        <f t="shared" si="1"/>
        <v>0.36973484995535538</v>
      </c>
      <c r="R49" s="26">
        <f t="shared" si="2"/>
        <v>3528.3</v>
      </c>
      <c r="S49" s="27">
        <f t="shared" si="3"/>
        <v>4163.3940000000002</v>
      </c>
    </row>
    <row r="50" spans="1:19" x14ac:dyDescent="0.3">
      <c r="A50">
        <v>200010076</v>
      </c>
      <c r="B50" s="18">
        <v>273723367</v>
      </c>
      <c r="C50" s="22">
        <v>46251</v>
      </c>
      <c r="D50" s="19">
        <v>874877113639</v>
      </c>
      <c r="E50" s="37">
        <v>41954</v>
      </c>
      <c r="F50" t="s">
        <v>36</v>
      </c>
      <c r="G50">
        <v>10</v>
      </c>
      <c r="H50">
        <v>66</v>
      </c>
      <c r="I50">
        <v>29</v>
      </c>
      <c r="J50">
        <v>29</v>
      </c>
      <c r="K50">
        <v>10</v>
      </c>
      <c r="L50" t="s">
        <v>19</v>
      </c>
      <c r="M50">
        <v>3529.5</v>
      </c>
      <c r="N50">
        <v>660</v>
      </c>
      <c r="O50">
        <v>180</v>
      </c>
      <c r="P50">
        <v>1665.3</v>
      </c>
      <c r="Q50" s="5">
        <f t="shared" si="1"/>
        <v>0.38111912118091312</v>
      </c>
      <c r="R50" s="26">
        <f t="shared" si="2"/>
        <v>6034.8</v>
      </c>
      <c r="S50" s="27">
        <f t="shared" si="3"/>
        <v>7121.0639999999994</v>
      </c>
    </row>
    <row r="51" spans="1:19" x14ac:dyDescent="0.3">
      <c r="A51">
        <v>200010076</v>
      </c>
      <c r="B51" s="18">
        <v>273723367</v>
      </c>
      <c r="C51" s="22">
        <v>46251</v>
      </c>
      <c r="D51" s="19">
        <v>874877114543</v>
      </c>
      <c r="E51" s="37">
        <v>41966</v>
      </c>
      <c r="F51" t="s">
        <v>36</v>
      </c>
      <c r="G51">
        <v>2</v>
      </c>
      <c r="H51">
        <v>45</v>
      </c>
      <c r="I51">
        <v>15</v>
      </c>
      <c r="J51">
        <v>14</v>
      </c>
      <c r="K51">
        <v>2</v>
      </c>
      <c r="L51" t="s">
        <v>19</v>
      </c>
      <c r="M51">
        <v>1512.5</v>
      </c>
      <c r="N51">
        <v>132</v>
      </c>
      <c r="O51" s="8">
        <v>0</v>
      </c>
      <c r="P51">
        <v>653.70000000000005</v>
      </c>
      <c r="Q51" s="5">
        <f t="shared" si="1"/>
        <v>0.39750684098510186</v>
      </c>
      <c r="R51" s="26">
        <f t="shared" si="2"/>
        <v>2298.1999999999998</v>
      </c>
      <c r="S51" s="27">
        <f t="shared" si="3"/>
        <v>2711.8759999999997</v>
      </c>
    </row>
    <row r="52" spans="1:19" x14ac:dyDescent="0.3">
      <c r="A52">
        <v>200010076</v>
      </c>
      <c r="B52" s="18">
        <v>273723367</v>
      </c>
      <c r="C52" s="22">
        <v>46251</v>
      </c>
      <c r="D52" s="19">
        <v>874877115506</v>
      </c>
      <c r="E52" s="37">
        <v>4105147051</v>
      </c>
      <c r="F52" t="s">
        <v>36</v>
      </c>
      <c r="G52">
        <v>5.5</v>
      </c>
      <c r="H52">
        <v>53</v>
      </c>
      <c r="I52">
        <v>24</v>
      </c>
      <c r="J52">
        <v>24</v>
      </c>
      <c r="K52">
        <v>5.5</v>
      </c>
      <c r="L52" t="s">
        <v>19</v>
      </c>
      <c r="M52">
        <v>2494</v>
      </c>
      <c r="N52">
        <v>363</v>
      </c>
      <c r="O52">
        <v>180</v>
      </c>
      <c r="P52" s="8">
        <v>1135.7</v>
      </c>
      <c r="Q52" s="5">
        <f t="shared" si="1"/>
        <v>0.37395456042146857</v>
      </c>
      <c r="R52" s="26">
        <f t="shared" si="2"/>
        <v>4172.7</v>
      </c>
      <c r="S52" s="27">
        <f t="shared" si="3"/>
        <v>4923.7859999999991</v>
      </c>
    </row>
    <row r="53" spans="1:19" x14ac:dyDescent="0.3">
      <c r="A53">
        <v>200010076</v>
      </c>
      <c r="B53" s="18">
        <v>273723367</v>
      </c>
      <c r="C53" s="22">
        <v>46251</v>
      </c>
      <c r="D53" s="19">
        <v>874877115767</v>
      </c>
      <c r="E53" s="37">
        <v>42029</v>
      </c>
      <c r="F53" t="s">
        <v>36</v>
      </c>
      <c r="G53">
        <v>3.5</v>
      </c>
      <c r="H53">
        <v>41</v>
      </c>
      <c r="I53">
        <v>22</v>
      </c>
      <c r="J53">
        <v>22</v>
      </c>
      <c r="K53">
        <v>3.5</v>
      </c>
      <c r="L53" t="s">
        <v>19</v>
      </c>
      <c r="M53">
        <v>1833.3</v>
      </c>
      <c r="N53">
        <v>231</v>
      </c>
      <c r="O53">
        <v>180</v>
      </c>
      <c r="P53">
        <v>820.6</v>
      </c>
      <c r="Q53" s="5">
        <f t="shared" si="1"/>
        <v>0.36563739250545824</v>
      </c>
      <c r="R53" s="26">
        <f t="shared" si="2"/>
        <v>3064.9</v>
      </c>
      <c r="S53" s="27">
        <f t="shared" si="3"/>
        <v>3616.5819999999999</v>
      </c>
    </row>
    <row r="54" spans="1:19" x14ac:dyDescent="0.3">
      <c r="A54">
        <v>200010076</v>
      </c>
      <c r="B54" s="18">
        <v>273723367</v>
      </c>
      <c r="C54" s="22">
        <v>46251</v>
      </c>
      <c r="D54" s="19">
        <v>874877117185</v>
      </c>
      <c r="E54" s="37">
        <v>42111</v>
      </c>
      <c r="F54" t="s">
        <v>36</v>
      </c>
      <c r="G54">
        <v>4.5</v>
      </c>
      <c r="H54">
        <v>45</v>
      </c>
      <c r="I54">
        <v>24</v>
      </c>
      <c r="J54">
        <v>24</v>
      </c>
      <c r="K54">
        <v>4.5</v>
      </c>
      <c r="L54" t="s">
        <v>19</v>
      </c>
      <c r="M54">
        <v>2098.9</v>
      </c>
      <c r="N54">
        <v>297</v>
      </c>
      <c r="O54">
        <v>180</v>
      </c>
      <c r="P54">
        <v>952.4</v>
      </c>
      <c r="Q54" s="5">
        <f t="shared" si="1"/>
        <v>0.36973484995535538</v>
      </c>
      <c r="R54" s="26">
        <f t="shared" si="2"/>
        <v>3528.3</v>
      </c>
      <c r="S54" s="27">
        <f t="shared" si="3"/>
        <v>4163.3940000000002</v>
      </c>
    </row>
    <row r="55" spans="1:19" x14ac:dyDescent="0.3">
      <c r="A55">
        <v>200010076</v>
      </c>
      <c r="B55" s="18">
        <v>273723367</v>
      </c>
      <c r="C55" s="22">
        <v>46251</v>
      </c>
      <c r="D55" s="19">
        <v>874877117656</v>
      </c>
      <c r="E55" s="37">
        <v>42291</v>
      </c>
      <c r="F55" t="s">
        <v>36</v>
      </c>
      <c r="G55">
        <v>14.5</v>
      </c>
      <c r="H55">
        <v>74</v>
      </c>
      <c r="I55">
        <v>34</v>
      </c>
      <c r="J55">
        <v>33</v>
      </c>
      <c r="K55">
        <v>14.5</v>
      </c>
      <c r="L55" t="s">
        <v>19</v>
      </c>
      <c r="M55">
        <v>5940.6</v>
      </c>
      <c r="N55">
        <v>957</v>
      </c>
      <c r="O55">
        <v>180</v>
      </c>
      <c r="P55">
        <v>2741.8</v>
      </c>
      <c r="Q55" s="5">
        <f t="shared" si="1"/>
        <v>0.38739120605855093</v>
      </c>
      <c r="R55" s="26">
        <f t="shared" si="2"/>
        <v>9819.4000000000015</v>
      </c>
      <c r="S55" s="27">
        <f t="shared" si="3"/>
        <v>11586.892000000002</v>
      </c>
    </row>
    <row r="56" spans="1:19" x14ac:dyDescent="0.3">
      <c r="A56">
        <v>200010076</v>
      </c>
      <c r="B56" s="18">
        <v>273723367</v>
      </c>
      <c r="C56" s="22">
        <v>46251</v>
      </c>
      <c r="D56" s="19">
        <v>874877117987</v>
      </c>
      <c r="E56" s="37">
        <v>42196</v>
      </c>
      <c r="F56" t="s">
        <v>36</v>
      </c>
      <c r="G56">
        <v>18</v>
      </c>
      <c r="H56">
        <v>76</v>
      </c>
      <c r="I56">
        <v>38</v>
      </c>
      <c r="J56">
        <v>36</v>
      </c>
      <c r="K56">
        <v>18</v>
      </c>
      <c r="L56" t="s">
        <v>19</v>
      </c>
      <c r="M56">
        <v>7135.4</v>
      </c>
      <c r="N56">
        <v>1188</v>
      </c>
      <c r="O56">
        <v>180</v>
      </c>
      <c r="P56" s="8">
        <v>3308.6</v>
      </c>
      <c r="Q56" s="5">
        <f t="shared" si="1"/>
        <v>0.38909142225462756</v>
      </c>
      <c r="R56" s="26">
        <f t="shared" si="2"/>
        <v>11812</v>
      </c>
      <c r="S56" s="27">
        <f t="shared" si="3"/>
        <v>13938.16</v>
      </c>
    </row>
    <row r="57" spans="1:19" x14ac:dyDescent="0.3">
      <c r="A57">
        <v>200010076</v>
      </c>
      <c r="B57" s="18">
        <v>273723367</v>
      </c>
      <c r="C57" s="22">
        <v>46251</v>
      </c>
      <c r="D57" s="19">
        <v>874877119626</v>
      </c>
      <c r="E57" s="37">
        <v>42321</v>
      </c>
      <c r="F57" t="s">
        <v>36</v>
      </c>
      <c r="G57">
        <v>21</v>
      </c>
      <c r="H57">
        <v>113</v>
      </c>
      <c r="I57">
        <v>34</v>
      </c>
      <c r="J57">
        <v>32</v>
      </c>
      <c r="K57">
        <v>21</v>
      </c>
      <c r="L57" t="s">
        <v>19</v>
      </c>
      <c r="M57">
        <v>8375.4</v>
      </c>
      <c r="N57">
        <v>1386</v>
      </c>
      <c r="O57">
        <v>180</v>
      </c>
      <c r="P57">
        <v>3880.2</v>
      </c>
      <c r="Q57" s="5">
        <f t="shared" si="1"/>
        <v>0.39030720019313175</v>
      </c>
      <c r="R57" s="26">
        <f t="shared" si="2"/>
        <v>13821.599999999999</v>
      </c>
      <c r="S57" s="27">
        <f t="shared" si="3"/>
        <v>16309.487999999998</v>
      </c>
    </row>
    <row r="58" spans="1:19" x14ac:dyDescent="0.3">
      <c r="A58">
        <v>200010076</v>
      </c>
      <c r="B58" s="18">
        <v>273723367</v>
      </c>
      <c r="C58" s="22">
        <v>46251</v>
      </c>
      <c r="D58" s="19">
        <v>874877121497</v>
      </c>
      <c r="E58" s="37">
        <v>42452</v>
      </c>
      <c r="F58" t="s">
        <v>36</v>
      </c>
      <c r="G58">
        <v>4</v>
      </c>
      <c r="H58">
        <v>42</v>
      </c>
      <c r="I58">
        <v>23</v>
      </c>
      <c r="J58">
        <v>22</v>
      </c>
      <c r="K58">
        <v>4</v>
      </c>
      <c r="L58" t="s">
        <v>19</v>
      </c>
      <c r="M58">
        <v>1966.1</v>
      </c>
      <c r="N58">
        <v>264</v>
      </c>
      <c r="O58">
        <v>180</v>
      </c>
      <c r="P58">
        <v>886.5</v>
      </c>
      <c r="Q58" s="5">
        <f t="shared" si="1"/>
        <v>0.36782706111779595</v>
      </c>
      <c r="R58" s="26">
        <f t="shared" si="2"/>
        <v>3296.6</v>
      </c>
      <c r="S58" s="27">
        <f t="shared" si="3"/>
        <v>3889.9879999999998</v>
      </c>
    </row>
    <row r="59" spans="1:19" x14ac:dyDescent="0.3">
      <c r="A59">
        <v>200010076</v>
      </c>
      <c r="B59" s="18">
        <v>273723367</v>
      </c>
      <c r="C59" s="22">
        <v>46251</v>
      </c>
      <c r="D59" s="19">
        <v>874877121865</v>
      </c>
      <c r="E59" s="37">
        <v>42476</v>
      </c>
      <c r="F59" t="s">
        <v>36</v>
      </c>
      <c r="G59">
        <v>6</v>
      </c>
      <c r="H59">
        <v>54</v>
      </c>
      <c r="I59">
        <v>26</v>
      </c>
      <c r="J59">
        <v>25</v>
      </c>
      <c r="K59">
        <v>6</v>
      </c>
      <c r="L59" t="s">
        <v>19</v>
      </c>
      <c r="M59">
        <v>2609.1</v>
      </c>
      <c r="N59">
        <v>396</v>
      </c>
      <c r="O59">
        <v>180</v>
      </c>
      <c r="P59">
        <v>1194.5</v>
      </c>
      <c r="Q59" s="5">
        <f t="shared" si="1"/>
        <v>0.37502747166493988</v>
      </c>
      <c r="R59" s="26">
        <f t="shared" si="2"/>
        <v>4379.6000000000004</v>
      </c>
      <c r="S59" s="27">
        <f t="shared" si="3"/>
        <v>5167.9279999999999</v>
      </c>
    </row>
    <row r="60" spans="1:19" x14ac:dyDescent="0.3">
      <c r="A60">
        <v>200010076</v>
      </c>
      <c r="B60" s="18">
        <v>273723367</v>
      </c>
      <c r="C60" s="22">
        <v>46251</v>
      </c>
      <c r="D60" s="19">
        <v>874877122574</v>
      </c>
      <c r="E60" s="37">
        <v>42497</v>
      </c>
      <c r="F60" t="s">
        <v>36</v>
      </c>
      <c r="G60">
        <v>6</v>
      </c>
      <c r="H60">
        <v>63</v>
      </c>
      <c r="I60">
        <v>23</v>
      </c>
      <c r="J60">
        <v>23</v>
      </c>
      <c r="K60">
        <v>6</v>
      </c>
      <c r="L60" t="s">
        <v>19</v>
      </c>
      <c r="M60">
        <v>2609.1</v>
      </c>
      <c r="N60">
        <v>396</v>
      </c>
      <c r="O60">
        <v>0</v>
      </c>
      <c r="P60">
        <v>1194.5</v>
      </c>
      <c r="Q60" s="5">
        <f t="shared" si="1"/>
        <v>0.39749093208212705</v>
      </c>
      <c r="R60" s="26">
        <f t="shared" si="2"/>
        <v>4199.6000000000004</v>
      </c>
      <c r="S60" s="27">
        <f t="shared" si="3"/>
        <v>4955.5280000000002</v>
      </c>
    </row>
    <row r="61" spans="1:19" x14ac:dyDescent="0.3">
      <c r="A61">
        <v>200010076</v>
      </c>
      <c r="B61" s="18">
        <v>273723367</v>
      </c>
      <c r="C61" s="22">
        <v>46251</v>
      </c>
      <c r="D61" s="19">
        <v>874877123136</v>
      </c>
      <c r="E61" s="37">
        <v>42538</v>
      </c>
      <c r="F61" t="s">
        <v>36</v>
      </c>
      <c r="G61">
        <v>6</v>
      </c>
      <c r="H61">
        <v>52</v>
      </c>
      <c r="I61">
        <v>25</v>
      </c>
      <c r="J61">
        <v>25</v>
      </c>
      <c r="K61">
        <v>6</v>
      </c>
      <c r="L61" t="s">
        <v>19</v>
      </c>
      <c r="M61">
        <v>2609.1</v>
      </c>
      <c r="N61">
        <v>396</v>
      </c>
      <c r="O61">
        <v>180</v>
      </c>
      <c r="P61">
        <v>1194.5</v>
      </c>
      <c r="Q61" s="5">
        <f t="shared" si="1"/>
        <v>0.37502747166493988</v>
      </c>
      <c r="R61" s="26">
        <f t="shared" si="2"/>
        <v>4379.6000000000004</v>
      </c>
      <c r="S61" s="27">
        <f t="shared" si="3"/>
        <v>5167.9279999999999</v>
      </c>
    </row>
    <row r="62" spans="1:19" x14ac:dyDescent="0.3">
      <c r="A62">
        <v>200010076</v>
      </c>
      <c r="B62" s="18">
        <v>273723367</v>
      </c>
      <c r="C62" s="22">
        <v>46251</v>
      </c>
      <c r="D62" s="19">
        <v>874877123950</v>
      </c>
      <c r="E62" s="37">
        <v>4112061107</v>
      </c>
      <c r="F62" t="s">
        <v>36</v>
      </c>
      <c r="G62">
        <v>17.5</v>
      </c>
      <c r="H62">
        <v>61</v>
      </c>
      <c r="I62">
        <v>43</v>
      </c>
      <c r="J62">
        <v>39</v>
      </c>
      <c r="K62">
        <v>17.5</v>
      </c>
      <c r="L62" t="s">
        <v>19</v>
      </c>
      <c r="M62">
        <v>6964.7</v>
      </c>
      <c r="N62">
        <v>1155</v>
      </c>
      <c r="O62">
        <v>180</v>
      </c>
      <c r="P62">
        <v>3227.6</v>
      </c>
      <c r="Q62" s="5">
        <f t="shared" si="1"/>
        <v>0.38888152583828328</v>
      </c>
      <c r="R62" s="26">
        <f t="shared" si="2"/>
        <v>11527.300000000001</v>
      </c>
      <c r="S62" s="27">
        <f t="shared" si="3"/>
        <v>13602.214</v>
      </c>
    </row>
    <row r="63" spans="1:19" x14ac:dyDescent="0.3">
      <c r="A63">
        <v>200010076</v>
      </c>
      <c r="B63" s="18">
        <v>273723367</v>
      </c>
      <c r="C63" s="22">
        <v>46251</v>
      </c>
      <c r="D63" s="19">
        <v>874877125871</v>
      </c>
      <c r="E63" s="37">
        <v>42565</v>
      </c>
      <c r="F63" t="s">
        <v>36</v>
      </c>
      <c r="G63">
        <v>2</v>
      </c>
      <c r="H63">
        <v>49</v>
      </c>
      <c r="I63">
        <v>15</v>
      </c>
      <c r="J63">
        <v>14</v>
      </c>
      <c r="K63">
        <v>2</v>
      </c>
      <c r="L63" t="s">
        <v>19</v>
      </c>
      <c r="M63">
        <v>1512.5</v>
      </c>
      <c r="N63">
        <v>132</v>
      </c>
      <c r="O63">
        <v>180</v>
      </c>
      <c r="P63" s="8">
        <v>653.70000000000005</v>
      </c>
      <c r="Q63" s="5">
        <f t="shared" si="1"/>
        <v>0.3582899424499863</v>
      </c>
      <c r="R63" s="26">
        <f t="shared" si="2"/>
        <v>2478.1999999999998</v>
      </c>
      <c r="S63" s="27">
        <f t="shared" si="3"/>
        <v>2924.2759999999998</v>
      </c>
    </row>
    <row r="64" spans="1:19" x14ac:dyDescent="0.3">
      <c r="A64">
        <v>200010076</v>
      </c>
      <c r="B64" s="18">
        <v>273723367</v>
      </c>
      <c r="C64" s="22">
        <v>46251</v>
      </c>
      <c r="D64" s="19">
        <v>874877126845</v>
      </c>
      <c r="E64" s="37">
        <v>42602</v>
      </c>
      <c r="F64" t="s">
        <v>36</v>
      </c>
      <c r="G64">
        <v>26</v>
      </c>
      <c r="H64">
        <v>106</v>
      </c>
      <c r="I64">
        <v>39</v>
      </c>
      <c r="J64">
        <v>37</v>
      </c>
      <c r="K64">
        <v>26</v>
      </c>
      <c r="L64" t="s">
        <v>19</v>
      </c>
      <c r="M64">
        <v>10283.700000000001</v>
      </c>
      <c r="N64">
        <v>1716</v>
      </c>
      <c r="O64">
        <v>2415</v>
      </c>
      <c r="P64">
        <v>5658.3</v>
      </c>
      <c r="Q64" s="5">
        <f t="shared" si="1"/>
        <v>0.39253678536493997</v>
      </c>
      <c r="R64" s="26">
        <f t="shared" si="2"/>
        <v>20073</v>
      </c>
      <c r="S64" s="27">
        <f t="shared" si="3"/>
        <v>23686.14</v>
      </c>
    </row>
    <row r="65" spans="1:19" x14ac:dyDescent="0.3">
      <c r="A65">
        <v>200010076</v>
      </c>
      <c r="B65" s="18">
        <v>273723367</v>
      </c>
      <c r="C65" s="22">
        <v>46251</v>
      </c>
      <c r="D65" s="19">
        <v>874877127164</v>
      </c>
      <c r="E65" s="37">
        <v>42584</v>
      </c>
      <c r="F65" t="s">
        <v>36</v>
      </c>
      <c r="G65">
        <v>9</v>
      </c>
      <c r="H65">
        <v>66</v>
      </c>
      <c r="I65">
        <v>28</v>
      </c>
      <c r="J65">
        <v>27</v>
      </c>
      <c r="K65">
        <v>9</v>
      </c>
      <c r="L65" t="s">
        <v>19</v>
      </c>
      <c r="M65">
        <v>3299.4</v>
      </c>
      <c r="N65">
        <v>594</v>
      </c>
      <c r="O65">
        <v>180</v>
      </c>
      <c r="P65">
        <v>1547.6</v>
      </c>
      <c r="Q65" s="5">
        <f t="shared" si="1"/>
        <v>0.37992831541218636</v>
      </c>
      <c r="R65" s="26">
        <f t="shared" si="2"/>
        <v>5621</v>
      </c>
      <c r="S65" s="27">
        <f t="shared" si="3"/>
        <v>6632.78</v>
      </c>
    </row>
    <row r="66" spans="1:19" x14ac:dyDescent="0.3">
      <c r="A66">
        <v>200010076</v>
      </c>
      <c r="B66" s="18">
        <v>273723367</v>
      </c>
      <c r="C66" s="22">
        <v>46251</v>
      </c>
      <c r="D66" s="19">
        <v>874877128013</v>
      </c>
      <c r="E66" s="37">
        <v>42724</v>
      </c>
      <c r="F66" t="s">
        <v>36</v>
      </c>
      <c r="G66">
        <v>7</v>
      </c>
      <c r="H66">
        <v>64</v>
      </c>
      <c r="I66">
        <v>25</v>
      </c>
      <c r="J66">
        <v>24</v>
      </c>
      <c r="K66">
        <v>7</v>
      </c>
      <c r="L66" t="s">
        <v>19</v>
      </c>
      <c r="M66">
        <v>2839.2</v>
      </c>
      <c r="N66">
        <v>462</v>
      </c>
      <c r="O66">
        <v>180</v>
      </c>
      <c r="P66" s="8">
        <v>1312.2</v>
      </c>
      <c r="Q66" s="5">
        <f t="shared" si="1"/>
        <v>0.37693898655635993</v>
      </c>
      <c r="R66" s="26">
        <f t="shared" si="2"/>
        <v>4793.3999999999996</v>
      </c>
      <c r="S66" s="27">
        <f t="shared" si="3"/>
        <v>5656.2119999999995</v>
      </c>
    </row>
    <row r="67" spans="1:19" x14ac:dyDescent="0.3">
      <c r="A67">
        <v>200010076</v>
      </c>
      <c r="B67" s="18">
        <v>273723367</v>
      </c>
      <c r="C67" s="22">
        <v>46251</v>
      </c>
      <c r="D67" s="19">
        <v>874877129693</v>
      </c>
      <c r="E67" s="37">
        <v>42742</v>
      </c>
      <c r="F67" t="s">
        <v>36</v>
      </c>
      <c r="G67">
        <v>7</v>
      </c>
      <c r="H67">
        <v>56</v>
      </c>
      <c r="I67">
        <v>27</v>
      </c>
      <c r="J67">
        <v>26</v>
      </c>
      <c r="K67">
        <v>7</v>
      </c>
      <c r="L67" t="s">
        <v>19</v>
      </c>
      <c r="M67">
        <v>2839.2</v>
      </c>
      <c r="N67">
        <v>462</v>
      </c>
      <c r="O67">
        <v>180</v>
      </c>
      <c r="P67">
        <v>1312.2</v>
      </c>
      <c r="Q67" s="5">
        <f t="shared" si="1"/>
        <v>0.37693898655635993</v>
      </c>
      <c r="R67" s="26">
        <f t="shared" si="2"/>
        <v>4793.3999999999996</v>
      </c>
      <c r="S67" s="27">
        <f t="shared" si="3"/>
        <v>5656.2119999999995</v>
      </c>
    </row>
    <row r="68" spans="1:19" x14ac:dyDescent="0.3">
      <c r="A68">
        <v>200010076</v>
      </c>
      <c r="B68" s="18">
        <v>273723367</v>
      </c>
      <c r="C68" s="22">
        <v>46251</v>
      </c>
      <c r="D68" s="19">
        <v>874877132049</v>
      </c>
      <c r="E68" s="37">
        <v>42914</v>
      </c>
      <c r="F68" t="s">
        <v>36</v>
      </c>
      <c r="G68">
        <v>3</v>
      </c>
      <c r="H68">
        <v>33</v>
      </c>
      <c r="I68">
        <v>22</v>
      </c>
      <c r="J68">
        <v>15</v>
      </c>
      <c r="K68">
        <v>3</v>
      </c>
      <c r="L68" t="s">
        <v>19</v>
      </c>
      <c r="M68">
        <v>1700.6</v>
      </c>
      <c r="N68">
        <v>198</v>
      </c>
      <c r="O68">
        <v>180</v>
      </c>
      <c r="P68">
        <v>754.7</v>
      </c>
      <c r="Q68" s="5">
        <f t="shared" si="1"/>
        <v>0.36308091984989899</v>
      </c>
      <c r="R68" s="26">
        <f t="shared" si="2"/>
        <v>2833.3</v>
      </c>
      <c r="S68" s="27">
        <f t="shared" si="3"/>
        <v>3343.2939999999999</v>
      </c>
    </row>
    <row r="69" spans="1:19" x14ac:dyDescent="0.3">
      <c r="A69">
        <v>200010076</v>
      </c>
      <c r="B69" s="18">
        <v>273723367</v>
      </c>
      <c r="C69" s="22">
        <v>46251</v>
      </c>
      <c r="D69" s="19">
        <v>874877132233</v>
      </c>
      <c r="E69" s="37">
        <v>4114459160</v>
      </c>
      <c r="F69" t="s">
        <v>36</v>
      </c>
      <c r="G69">
        <v>9</v>
      </c>
      <c r="H69">
        <v>54</v>
      </c>
      <c r="I69">
        <v>31</v>
      </c>
      <c r="J69">
        <v>31</v>
      </c>
      <c r="K69">
        <v>9</v>
      </c>
      <c r="L69" t="s">
        <v>19</v>
      </c>
      <c r="M69">
        <v>3299.4</v>
      </c>
      <c r="N69">
        <v>594</v>
      </c>
      <c r="O69">
        <v>180</v>
      </c>
      <c r="P69" s="8">
        <v>1547.6</v>
      </c>
      <c r="Q69" s="5">
        <f t="shared" ref="Q69:Q132" si="4">+P69/SUM(M69:O69)</f>
        <v>0.37992831541218636</v>
      </c>
      <c r="R69" s="26">
        <f t="shared" ref="R69:R132" si="5">SUM(M69:P69)</f>
        <v>5621</v>
      </c>
      <c r="S69" s="27">
        <f t="shared" ref="S69:S132" si="6">+R69*1.18</f>
        <v>6632.78</v>
      </c>
    </row>
    <row r="70" spans="1:19" x14ac:dyDescent="0.3">
      <c r="A70">
        <v>200010076</v>
      </c>
      <c r="B70" s="18">
        <v>273723367</v>
      </c>
      <c r="C70" s="22">
        <v>46251</v>
      </c>
      <c r="D70" s="19">
        <v>874877134545</v>
      </c>
      <c r="E70" s="37">
        <v>42791</v>
      </c>
      <c r="F70" t="s">
        <v>36</v>
      </c>
      <c r="G70">
        <v>6.5</v>
      </c>
      <c r="H70">
        <v>61</v>
      </c>
      <c r="I70">
        <v>24</v>
      </c>
      <c r="J70">
        <v>24</v>
      </c>
      <c r="K70">
        <v>6.5</v>
      </c>
      <c r="L70" t="s">
        <v>19</v>
      </c>
      <c r="M70">
        <v>2724.1</v>
      </c>
      <c r="N70">
        <v>429</v>
      </c>
      <c r="O70">
        <v>180</v>
      </c>
      <c r="P70">
        <v>1253.4000000000001</v>
      </c>
      <c r="Q70" s="5">
        <f t="shared" si="4"/>
        <v>0.37604632324262705</v>
      </c>
      <c r="R70" s="26">
        <f t="shared" si="5"/>
        <v>4586.5</v>
      </c>
      <c r="S70" s="27">
        <f t="shared" si="6"/>
        <v>5412.07</v>
      </c>
    </row>
    <row r="71" spans="1:19" x14ac:dyDescent="0.3">
      <c r="A71">
        <v>200010076</v>
      </c>
      <c r="B71" s="18">
        <v>273723367</v>
      </c>
      <c r="C71" s="22">
        <v>46251</v>
      </c>
      <c r="D71" s="19">
        <v>874877135644</v>
      </c>
      <c r="E71" s="37">
        <v>42831</v>
      </c>
      <c r="F71" t="s">
        <v>36</v>
      </c>
      <c r="G71">
        <v>7.5</v>
      </c>
      <c r="H71">
        <v>66</v>
      </c>
      <c r="I71">
        <v>26</v>
      </c>
      <c r="J71">
        <v>24</v>
      </c>
      <c r="K71">
        <v>7.5</v>
      </c>
      <c r="L71" t="s">
        <v>19</v>
      </c>
      <c r="M71">
        <v>2954.2</v>
      </c>
      <c r="N71">
        <v>495</v>
      </c>
      <c r="O71">
        <v>180</v>
      </c>
      <c r="P71">
        <v>1371.1</v>
      </c>
      <c r="Q71" s="5">
        <f t="shared" si="4"/>
        <v>0.37779675961644438</v>
      </c>
      <c r="R71" s="26">
        <f t="shared" si="5"/>
        <v>5000.2999999999993</v>
      </c>
      <c r="S71" s="27">
        <f t="shared" si="6"/>
        <v>5900.3539999999985</v>
      </c>
    </row>
    <row r="72" spans="1:19" x14ac:dyDescent="0.3">
      <c r="A72">
        <v>200010076</v>
      </c>
      <c r="B72" s="18">
        <v>273723367</v>
      </c>
      <c r="C72" s="22">
        <v>46251</v>
      </c>
      <c r="D72" s="19">
        <v>874877136813</v>
      </c>
      <c r="E72" s="37">
        <v>42841</v>
      </c>
      <c r="F72" t="s">
        <v>36</v>
      </c>
      <c r="G72">
        <v>2</v>
      </c>
      <c r="H72">
        <v>37</v>
      </c>
      <c r="I72">
        <v>24</v>
      </c>
      <c r="J72">
        <v>10</v>
      </c>
      <c r="K72">
        <v>2</v>
      </c>
      <c r="L72" t="s">
        <v>19</v>
      </c>
      <c r="M72">
        <v>1512.5</v>
      </c>
      <c r="N72">
        <v>132</v>
      </c>
      <c r="O72">
        <v>180</v>
      </c>
      <c r="P72">
        <v>653.70000000000005</v>
      </c>
      <c r="Q72" s="5">
        <f t="shared" si="4"/>
        <v>0.3582899424499863</v>
      </c>
      <c r="R72" s="26">
        <f t="shared" si="5"/>
        <v>2478.1999999999998</v>
      </c>
      <c r="S72" s="27">
        <f t="shared" si="6"/>
        <v>2924.2759999999998</v>
      </c>
    </row>
    <row r="73" spans="1:19" x14ac:dyDescent="0.3">
      <c r="A73">
        <v>200010076</v>
      </c>
      <c r="B73" s="18">
        <v>273723367</v>
      </c>
      <c r="C73" s="22">
        <v>46251</v>
      </c>
      <c r="D73" s="19">
        <v>874877137496</v>
      </c>
      <c r="E73" s="37">
        <v>42890</v>
      </c>
      <c r="F73" t="s">
        <v>36</v>
      </c>
      <c r="G73">
        <v>9</v>
      </c>
      <c r="H73">
        <v>71</v>
      </c>
      <c r="I73">
        <v>27</v>
      </c>
      <c r="J73">
        <v>27</v>
      </c>
      <c r="K73">
        <v>9</v>
      </c>
      <c r="L73" t="s">
        <v>19</v>
      </c>
      <c r="M73">
        <v>3299.4</v>
      </c>
      <c r="N73">
        <v>594</v>
      </c>
      <c r="O73">
        <v>180</v>
      </c>
      <c r="P73" s="8">
        <v>1547.6</v>
      </c>
      <c r="Q73" s="5">
        <f t="shared" si="4"/>
        <v>0.37992831541218636</v>
      </c>
      <c r="R73" s="26">
        <f t="shared" si="5"/>
        <v>5621</v>
      </c>
      <c r="S73" s="27">
        <f t="shared" si="6"/>
        <v>6632.78</v>
      </c>
    </row>
    <row r="74" spans="1:19" x14ac:dyDescent="0.3">
      <c r="A74">
        <v>200010076</v>
      </c>
      <c r="B74" s="18">
        <v>273723367</v>
      </c>
      <c r="C74" s="22">
        <v>46251</v>
      </c>
      <c r="D74" s="19">
        <v>874877139959</v>
      </c>
      <c r="E74" s="37">
        <v>43052</v>
      </c>
      <c r="F74" t="s">
        <v>36</v>
      </c>
      <c r="G74">
        <v>10.5</v>
      </c>
      <c r="H74">
        <v>63</v>
      </c>
      <c r="I74">
        <v>31</v>
      </c>
      <c r="J74">
        <v>30</v>
      </c>
      <c r="K74">
        <v>10.5</v>
      </c>
      <c r="L74" t="s">
        <v>19</v>
      </c>
      <c r="M74">
        <v>4575.1000000000004</v>
      </c>
      <c r="N74">
        <v>693</v>
      </c>
      <c r="O74">
        <v>180</v>
      </c>
      <c r="P74">
        <v>2094.1</v>
      </c>
      <c r="Q74" s="5">
        <f t="shared" si="4"/>
        <v>0.38437253354380424</v>
      </c>
      <c r="R74" s="26">
        <f t="shared" si="5"/>
        <v>7542.2000000000007</v>
      </c>
      <c r="S74" s="27">
        <f t="shared" si="6"/>
        <v>8899.7960000000003</v>
      </c>
    </row>
    <row r="75" spans="1:19" x14ac:dyDescent="0.3">
      <c r="A75">
        <v>200010076</v>
      </c>
      <c r="B75" s="18">
        <v>273723367</v>
      </c>
      <c r="C75" s="22">
        <v>46251</v>
      </c>
      <c r="D75" s="19">
        <v>874877140036</v>
      </c>
      <c r="E75" s="37">
        <v>42921</v>
      </c>
      <c r="F75" t="s">
        <v>36</v>
      </c>
      <c r="G75">
        <v>8</v>
      </c>
      <c r="H75">
        <v>54</v>
      </c>
      <c r="I75">
        <v>29</v>
      </c>
      <c r="J75">
        <v>28</v>
      </c>
      <c r="K75">
        <v>8</v>
      </c>
      <c r="L75" t="s">
        <v>19</v>
      </c>
      <c r="M75">
        <v>3069.3</v>
      </c>
      <c r="N75">
        <v>528</v>
      </c>
      <c r="O75">
        <v>180</v>
      </c>
      <c r="P75" s="8">
        <v>1429.9</v>
      </c>
      <c r="Q75" s="5">
        <f t="shared" si="4"/>
        <v>0.37855081672093827</v>
      </c>
      <c r="R75" s="26">
        <f t="shared" si="5"/>
        <v>5207.2000000000007</v>
      </c>
      <c r="S75" s="27">
        <f t="shared" si="6"/>
        <v>6144.4960000000001</v>
      </c>
    </row>
    <row r="76" spans="1:19" x14ac:dyDescent="0.3">
      <c r="A76">
        <v>200010076</v>
      </c>
      <c r="B76" s="18">
        <v>273723367</v>
      </c>
      <c r="C76" s="22">
        <v>46251</v>
      </c>
      <c r="D76" s="19">
        <v>874877140529</v>
      </c>
      <c r="E76" s="37">
        <v>43036</v>
      </c>
      <c r="F76" t="s">
        <v>36</v>
      </c>
      <c r="G76">
        <v>7</v>
      </c>
      <c r="H76">
        <v>75</v>
      </c>
      <c r="I76">
        <v>23</v>
      </c>
      <c r="J76">
        <v>22</v>
      </c>
      <c r="K76">
        <v>7</v>
      </c>
      <c r="L76" t="s">
        <v>19</v>
      </c>
      <c r="M76">
        <v>2839.2</v>
      </c>
      <c r="N76">
        <v>462</v>
      </c>
      <c r="O76">
        <v>180</v>
      </c>
      <c r="P76">
        <v>1312.2</v>
      </c>
      <c r="Q76" s="5">
        <f t="shared" si="4"/>
        <v>0.37693898655635993</v>
      </c>
      <c r="R76" s="26">
        <f t="shared" si="5"/>
        <v>4793.3999999999996</v>
      </c>
      <c r="S76" s="27">
        <f t="shared" si="6"/>
        <v>5656.2119999999995</v>
      </c>
    </row>
    <row r="77" spans="1:19" x14ac:dyDescent="0.3">
      <c r="A77">
        <v>200010076</v>
      </c>
      <c r="B77" s="18">
        <v>273723367</v>
      </c>
      <c r="C77" s="22">
        <v>46251</v>
      </c>
      <c r="D77" s="19">
        <v>874877140768</v>
      </c>
      <c r="E77" s="37">
        <v>43121</v>
      </c>
      <c r="F77" t="s">
        <v>36</v>
      </c>
      <c r="G77">
        <v>13.5</v>
      </c>
      <c r="H77">
        <v>57</v>
      </c>
      <c r="I77">
        <v>37</v>
      </c>
      <c r="J77">
        <v>37</v>
      </c>
      <c r="K77">
        <v>13.5</v>
      </c>
      <c r="L77" t="s">
        <v>19</v>
      </c>
      <c r="M77">
        <v>5599.2</v>
      </c>
      <c r="N77">
        <v>891</v>
      </c>
      <c r="O77">
        <v>180</v>
      </c>
      <c r="P77">
        <v>2579.9</v>
      </c>
      <c r="Q77" s="5">
        <f t="shared" si="4"/>
        <v>0.38678000659650386</v>
      </c>
      <c r="R77" s="26">
        <f t="shared" si="5"/>
        <v>9250.1</v>
      </c>
      <c r="S77" s="27">
        <f t="shared" si="6"/>
        <v>10915.118</v>
      </c>
    </row>
    <row r="78" spans="1:19" x14ac:dyDescent="0.3">
      <c r="A78">
        <v>200010076</v>
      </c>
      <c r="B78" s="18">
        <v>273723367</v>
      </c>
      <c r="C78" s="22">
        <v>46251</v>
      </c>
      <c r="D78" s="19">
        <v>874877141694</v>
      </c>
      <c r="E78" s="37">
        <v>43088</v>
      </c>
      <c r="F78" t="s">
        <v>36</v>
      </c>
      <c r="G78">
        <v>2</v>
      </c>
      <c r="H78">
        <v>32</v>
      </c>
      <c r="I78">
        <v>24</v>
      </c>
      <c r="J78">
        <v>11</v>
      </c>
      <c r="K78">
        <v>2</v>
      </c>
      <c r="L78" t="s">
        <v>19</v>
      </c>
      <c r="M78">
        <v>1512.5</v>
      </c>
      <c r="N78">
        <v>132</v>
      </c>
      <c r="O78">
        <v>180</v>
      </c>
      <c r="P78">
        <v>653.70000000000005</v>
      </c>
      <c r="Q78" s="5">
        <f t="shared" si="4"/>
        <v>0.3582899424499863</v>
      </c>
      <c r="R78" s="26">
        <f t="shared" si="5"/>
        <v>2478.1999999999998</v>
      </c>
      <c r="S78" s="27">
        <f t="shared" si="6"/>
        <v>2924.2759999999998</v>
      </c>
    </row>
    <row r="79" spans="1:19" x14ac:dyDescent="0.3">
      <c r="A79">
        <v>200010076</v>
      </c>
      <c r="B79" s="18">
        <v>273723367</v>
      </c>
      <c r="C79" s="22">
        <v>46251</v>
      </c>
      <c r="D79" s="19">
        <v>874877143150</v>
      </c>
      <c r="E79" s="37">
        <v>43099</v>
      </c>
      <c r="F79" t="s">
        <v>36</v>
      </c>
      <c r="G79">
        <v>2.5</v>
      </c>
      <c r="H79">
        <v>62</v>
      </c>
      <c r="I79">
        <v>15</v>
      </c>
      <c r="J79">
        <v>14</v>
      </c>
      <c r="K79">
        <v>2.5</v>
      </c>
      <c r="L79" t="s">
        <v>19</v>
      </c>
      <c r="M79">
        <v>1671.3</v>
      </c>
      <c r="N79">
        <v>165</v>
      </c>
      <c r="O79" s="8">
        <v>180</v>
      </c>
      <c r="P79" s="8">
        <v>729.9</v>
      </c>
      <c r="Q79" s="5">
        <f t="shared" si="4"/>
        <v>0.36199970242523433</v>
      </c>
      <c r="R79" s="26">
        <f t="shared" si="5"/>
        <v>2746.2</v>
      </c>
      <c r="S79" s="27">
        <f t="shared" si="6"/>
        <v>3240.5159999999996</v>
      </c>
    </row>
    <row r="80" spans="1:19" x14ac:dyDescent="0.3">
      <c r="A80">
        <v>200010076</v>
      </c>
      <c r="B80" s="18">
        <v>273723367</v>
      </c>
      <c r="C80" s="22">
        <v>46251</v>
      </c>
      <c r="D80" s="19">
        <v>874877145049</v>
      </c>
      <c r="E80" s="37">
        <v>43137</v>
      </c>
      <c r="F80" t="s">
        <v>36</v>
      </c>
      <c r="G80">
        <v>4</v>
      </c>
      <c r="H80">
        <v>52</v>
      </c>
      <c r="I80">
        <v>22</v>
      </c>
      <c r="J80">
        <v>21</v>
      </c>
      <c r="K80">
        <v>4</v>
      </c>
      <c r="L80" t="s">
        <v>19</v>
      </c>
      <c r="M80">
        <v>1966.1</v>
      </c>
      <c r="N80">
        <v>264</v>
      </c>
      <c r="O80" s="8">
        <v>180</v>
      </c>
      <c r="P80" s="8">
        <v>886.5</v>
      </c>
      <c r="Q80" s="5">
        <f t="shared" si="4"/>
        <v>0.36782706111779595</v>
      </c>
      <c r="R80" s="26">
        <f t="shared" si="5"/>
        <v>3296.6</v>
      </c>
      <c r="S80" s="27">
        <f t="shared" si="6"/>
        <v>3889.9879999999998</v>
      </c>
    </row>
    <row r="81" spans="1:19" x14ac:dyDescent="0.3">
      <c r="A81">
        <v>200010076</v>
      </c>
      <c r="B81" s="18">
        <v>273723367</v>
      </c>
      <c r="C81" s="22">
        <v>46251</v>
      </c>
      <c r="D81" s="19">
        <v>874877146961</v>
      </c>
      <c r="E81" s="37">
        <v>43183</v>
      </c>
      <c r="F81" t="s">
        <v>36</v>
      </c>
      <c r="G81">
        <v>5.5</v>
      </c>
      <c r="H81">
        <v>58</v>
      </c>
      <c r="I81">
        <v>24</v>
      </c>
      <c r="J81">
        <v>22</v>
      </c>
      <c r="K81">
        <v>5.5</v>
      </c>
      <c r="L81" t="s">
        <v>19</v>
      </c>
      <c r="M81">
        <v>2494</v>
      </c>
      <c r="N81">
        <v>363</v>
      </c>
      <c r="O81" s="8">
        <v>180</v>
      </c>
      <c r="P81">
        <v>1135.7</v>
      </c>
      <c r="Q81" s="5">
        <f t="shared" si="4"/>
        <v>0.37395456042146857</v>
      </c>
      <c r="R81" s="26">
        <f t="shared" si="5"/>
        <v>4172.7</v>
      </c>
      <c r="S81" s="27">
        <f t="shared" si="6"/>
        <v>4923.7859999999991</v>
      </c>
    </row>
    <row r="82" spans="1:19" x14ac:dyDescent="0.3">
      <c r="A82">
        <v>200010076</v>
      </c>
      <c r="B82" s="18">
        <v>273723367</v>
      </c>
      <c r="C82" s="22">
        <v>46251</v>
      </c>
      <c r="D82" s="19">
        <v>874877147475</v>
      </c>
      <c r="E82" s="37">
        <v>43260</v>
      </c>
      <c r="F82" t="s">
        <v>36</v>
      </c>
      <c r="G82">
        <v>7</v>
      </c>
      <c r="H82">
        <v>58</v>
      </c>
      <c r="I82">
        <v>27</v>
      </c>
      <c r="J82">
        <v>25</v>
      </c>
      <c r="K82">
        <v>7</v>
      </c>
      <c r="L82" t="s">
        <v>19</v>
      </c>
      <c r="M82">
        <v>2839.2</v>
      </c>
      <c r="N82">
        <v>462</v>
      </c>
      <c r="O82" s="8">
        <v>180</v>
      </c>
      <c r="P82">
        <v>1312.2</v>
      </c>
      <c r="Q82" s="5">
        <f t="shared" si="4"/>
        <v>0.37693898655635993</v>
      </c>
      <c r="R82" s="26">
        <f t="shared" si="5"/>
        <v>4793.3999999999996</v>
      </c>
      <c r="S82" s="27">
        <f t="shared" si="6"/>
        <v>5656.2119999999995</v>
      </c>
    </row>
    <row r="83" spans="1:19" x14ac:dyDescent="0.3">
      <c r="A83">
        <v>200010076</v>
      </c>
      <c r="B83" s="18">
        <v>273723367</v>
      </c>
      <c r="C83" s="22">
        <v>46251</v>
      </c>
      <c r="D83" s="19">
        <v>874877148449</v>
      </c>
      <c r="E83" s="37">
        <v>43331</v>
      </c>
      <c r="F83" t="s">
        <v>36</v>
      </c>
      <c r="G83">
        <v>9.5</v>
      </c>
      <c r="H83">
        <v>68</v>
      </c>
      <c r="I83">
        <v>28</v>
      </c>
      <c r="J83">
        <v>28</v>
      </c>
      <c r="K83">
        <v>9.5</v>
      </c>
      <c r="L83" t="s">
        <v>19</v>
      </c>
      <c r="M83">
        <v>3414.5</v>
      </c>
      <c r="N83">
        <v>627</v>
      </c>
      <c r="O83">
        <v>180</v>
      </c>
      <c r="P83">
        <v>1606.5</v>
      </c>
      <c r="Q83" s="5">
        <f t="shared" si="4"/>
        <v>0.3805519365154566</v>
      </c>
      <c r="R83" s="26">
        <f t="shared" si="5"/>
        <v>5828</v>
      </c>
      <c r="S83" s="27">
        <f t="shared" si="6"/>
        <v>6877.04</v>
      </c>
    </row>
    <row r="84" spans="1:19" x14ac:dyDescent="0.3">
      <c r="A84">
        <v>200010076</v>
      </c>
      <c r="B84" s="18">
        <v>273723367</v>
      </c>
      <c r="C84" s="22">
        <v>46251</v>
      </c>
      <c r="D84" s="19">
        <v>874877147144</v>
      </c>
      <c r="E84" s="37">
        <v>4124130152</v>
      </c>
      <c r="F84" t="s">
        <v>36</v>
      </c>
      <c r="G84">
        <v>0.5</v>
      </c>
      <c r="K84">
        <v>0.5</v>
      </c>
      <c r="L84" t="s">
        <v>19</v>
      </c>
      <c r="M84">
        <v>1031.7</v>
      </c>
      <c r="N84">
        <v>42.5</v>
      </c>
      <c r="O84">
        <v>0</v>
      </c>
      <c r="P84">
        <v>427</v>
      </c>
      <c r="Q84" s="5">
        <f t="shared" si="4"/>
        <v>0.39750512008936884</v>
      </c>
      <c r="R84" s="26">
        <f t="shared" si="5"/>
        <v>1501.2</v>
      </c>
      <c r="S84" s="27">
        <f t="shared" si="6"/>
        <v>1771.4159999999999</v>
      </c>
    </row>
    <row r="85" spans="1:19" x14ac:dyDescent="0.3">
      <c r="A85">
        <v>200010076</v>
      </c>
      <c r="B85" s="18">
        <v>273723367</v>
      </c>
      <c r="C85" s="22">
        <v>46251</v>
      </c>
      <c r="D85" s="19">
        <v>874877149309</v>
      </c>
      <c r="E85" s="37">
        <v>4124731139</v>
      </c>
      <c r="F85" t="s">
        <v>36</v>
      </c>
      <c r="G85">
        <v>0.5</v>
      </c>
      <c r="K85">
        <v>0.5</v>
      </c>
      <c r="L85" t="s">
        <v>19</v>
      </c>
      <c r="M85">
        <v>1031.7</v>
      </c>
      <c r="N85">
        <v>42.5</v>
      </c>
      <c r="O85">
        <v>0</v>
      </c>
      <c r="P85" s="8">
        <v>427</v>
      </c>
      <c r="Q85" s="5">
        <f t="shared" si="4"/>
        <v>0.39750512008936884</v>
      </c>
      <c r="R85" s="26">
        <f t="shared" si="5"/>
        <v>1501.2</v>
      </c>
      <c r="S85" s="27">
        <f t="shared" si="6"/>
        <v>1771.4159999999999</v>
      </c>
    </row>
    <row r="86" spans="1:19" x14ac:dyDescent="0.3">
      <c r="A86">
        <v>200010076</v>
      </c>
      <c r="B86" s="18">
        <v>273723367</v>
      </c>
      <c r="C86" s="22">
        <v>46251</v>
      </c>
      <c r="D86" s="19">
        <v>874877151401</v>
      </c>
      <c r="E86" s="37">
        <v>43396</v>
      </c>
      <c r="F86" t="s">
        <v>36</v>
      </c>
      <c r="G86">
        <v>0.5</v>
      </c>
      <c r="K86">
        <v>0.5</v>
      </c>
      <c r="L86" t="s">
        <v>19</v>
      </c>
      <c r="M86">
        <v>1031.7</v>
      </c>
      <c r="N86">
        <v>42.5</v>
      </c>
      <c r="O86">
        <v>0</v>
      </c>
      <c r="P86" s="8">
        <v>427</v>
      </c>
      <c r="Q86" s="5">
        <f t="shared" si="4"/>
        <v>0.39750512008936884</v>
      </c>
      <c r="R86" s="26">
        <f t="shared" si="5"/>
        <v>1501.2</v>
      </c>
      <c r="S86" s="27">
        <f t="shared" si="6"/>
        <v>1771.4159999999999</v>
      </c>
    </row>
    <row r="87" spans="1:19" x14ac:dyDescent="0.3">
      <c r="A87">
        <v>200010076</v>
      </c>
      <c r="B87" s="18">
        <v>273723367</v>
      </c>
      <c r="C87" s="22">
        <v>46251</v>
      </c>
      <c r="D87" s="19">
        <v>874877151950</v>
      </c>
      <c r="E87" s="37">
        <v>43435</v>
      </c>
      <c r="F87" t="s">
        <v>36</v>
      </c>
      <c r="G87">
        <v>0.5</v>
      </c>
      <c r="K87">
        <v>0.5</v>
      </c>
      <c r="L87" t="s">
        <v>19</v>
      </c>
      <c r="M87">
        <v>1031.7</v>
      </c>
      <c r="N87">
        <v>42.5</v>
      </c>
      <c r="O87">
        <v>0</v>
      </c>
      <c r="P87" s="8">
        <v>427</v>
      </c>
      <c r="Q87" s="5">
        <f t="shared" si="4"/>
        <v>0.39750512008936884</v>
      </c>
      <c r="R87" s="26">
        <f t="shared" si="5"/>
        <v>1501.2</v>
      </c>
      <c r="S87" s="27">
        <f t="shared" si="6"/>
        <v>1771.4159999999999</v>
      </c>
    </row>
    <row r="88" spans="1:19" x14ac:dyDescent="0.3">
      <c r="A88">
        <v>200010076</v>
      </c>
      <c r="B88" s="18">
        <v>273723367</v>
      </c>
      <c r="C88" s="22">
        <v>46251</v>
      </c>
      <c r="D88" s="19">
        <v>874877152350</v>
      </c>
      <c r="E88" s="37">
        <v>43409</v>
      </c>
      <c r="F88" t="s">
        <v>36</v>
      </c>
      <c r="G88">
        <v>0.5</v>
      </c>
      <c r="K88">
        <v>0.5</v>
      </c>
      <c r="L88" t="s">
        <v>19</v>
      </c>
      <c r="M88">
        <v>1031.7</v>
      </c>
      <c r="N88">
        <v>42.5</v>
      </c>
      <c r="O88">
        <v>0</v>
      </c>
      <c r="P88" s="8">
        <v>427</v>
      </c>
      <c r="Q88" s="5">
        <f t="shared" si="4"/>
        <v>0.39750512008936884</v>
      </c>
      <c r="R88" s="26">
        <f t="shared" si="5"/>
        <v>1501.2</v>
      </c>
      <c r="S88" s="27">
        <f t="shared" si="6"/>
        <v>1771.4159999999999</v>
      </c>
    </row>
    <row r="89" spans="1:19" x14ac:dyDescent="0.3">
      <c r="A89">
        <v>200010076</v>
      </c>
      <c r="B89" s="18">
        <v>273723367</v>
      </c>
      <c r="C89" s="22">
        <v>46251</v>
      </c>
      <c r="D89" s="19">
        <v>874877153908</v>
      </c>
      <c r="E89" s="37">
        <v>43436</v>
      </c>
      <c r="F89" t="s">
        <v>36</v>
      </c>
      <c r="G89">
        <v>0.5</v>
      </c>
      <c r="K89">
        <v>0.5</v>
      </c>
      <c r="L89" t="s">
        <v>19</v>
      </c>
      <c r="M89">
        <v>1031.7</v>
      </c>
      <c r="N89">
        <v>42.5</v>
      </c>
      <c r="O89">
        <v>0</v>
      </c>
      <c r="P89" s="8">
        <v>427</v>
      </c>
      <c r="Q89" s="5">
        <f t="shared" si="4"/>
        <v>0.39750512008936884</v>
      </c>
      <c r="R89" s="26">
        <f t="shared" si="5"/>
        <v>1501.2</v>
      </c>
      <c r="S89" s="27">
        <f t="shared" si="6"/>
        <v>1771.4159999999999</v>
      </c>
    </row>
    <row r="90" spans="1:19" x14ac:dyDescent="0.3">
      <c r="A90">
        <v>200010076</v>
      </c>
      <c r="B90" s="18">
        <v>273723367</v>
      </c>
      <c r="C90" s="22">
        <v>46251</v>
      </c>
      <c r="D90" s="19">
        <v>874877154650</v>
      </c>
      <c r="E90" s="37">
        <v>43443</v>
      </c>
      <c r="F90" t="s">
        <v>36</v>
      </c>
      <c r="G90">
        <v>0.5</v>
      </c>
      <c r="K90">
        <v>0.5</v>
      </c>
      <c r="L90" t="s">
        <v>19</v>
      </c>
      <c r="M90">
        <v>1031.7</v>
      </c>
      <c r="N90">
        <v>42.5</v>
      </c>
      <c r="O90">
        <v>0</v>
      </c>
      <c r="P90">
        <v>427</v>
      </c>
      <c r="Q90" s="5">
        <f t="shared" si="4"/>
        <v>0.39750512008936884</v>
      </c>
      <c r="R90" s="26">
        <f t="shared" si="5"/>
        <v>1501.2</v>
      </c>
      <c r="S90" s="27">
        <f t="shared" si="6"/>
        <v>1771.4159999999999</v>
      </c>
    </row>
    <row r="91" spans="1:19" x14ac:dyDescent="0.3">
      <c r="A91">
        <v>200010076</v>
      </c>
      <c r="B91" s="18">
        <v>273723367</v>
      </c>
      <c r="C91" s="22">
        <v>46251</v>
      </c>
      <c r="D91" s="19">
        <v>874877155495</v>
      </c>
      <c r="E91" s="37">
        <v>43437</v>
      </c>
      <c r="F91" t="s">
        <v>36</v>
      </c>
      <c r="G91">
        <v>0.5</v>
      </c>
      <c r="K91">
        <v>0.5</v>
      </c>
      <c r="L91" t="s">
        <v>19</v>
      </c>
      <c r="M91">
        <v>1031.7</v>
      </c>
      <c r="N91">
        <v>42.5</v>
      </c>
      <c r="O91">
        <v>0</v>
      </c>
      <c r="P91">
        <v>427</v>
      </c>
      <c r="Q91" s="5">
        <f t="shared" si="4"/>
        <v>0.39750512008936884</v>
      </c>
      <c r="R91" s="26">
        <f t="shared" si="5"/>
        <v>1501.2</v>
      </c>
      <c r="S91" s="27">
        <f t="shared" si="6"/>
        <v>1771.4159999999999</v>
      </c>
    </row>
    <row r="92" spans="1:19" x14ac:dyDescent="0.3">
      <c r="A92">
        <v>200010076</v>
      </c>
      <c r="B92" s="18">
        <v>273723367</v>
      </c>
      <c r="C92" s="22">
        <v>46251</v>
      </c>
      <c r="D92" s="19">
        <v>874877156057</v>
      </c>
      <c r="E92" s="37">
        <v>43447</v>
      </c>
      <c r="F92" t="s">
        <v>36</v>
      </c>
      <c r="G92">
        <v>0.5</v>
      </c>
      <c r="K92">
        <v>0.5</v>
      </c>
      <c r="L92" t="s">
        <v>19</v>
      </c>
      <c r="M92">
        <v>1031.7</v>
      </c>
      <c r="N92">
        <v>42.5</v>
      </c>
      <c r="O92">
        <v>0</v>
      </c>
      <c r="P92" s="8">
        <v>427</v>
      </c>
      <c r="Q92" s="5">
        <f t="shared" si="4"/>
        <v>0.39750512008936884</v>
      </c>
      <c r="R92" s="26">
        <f t="shared" si="5"/>
        <v>1501.2</v>
      </c>
      <c r="S92" s="27">
        <f t="shared" si="6"/>
        <v>1771.4159999999999</v>
      </c>
    </row>
    <row r="93" spans="1:19" x14ac:dyDescent="0.3">
      <c r="A93">
        <v>200010076</v>
      </c>
      <c r="B93" s="18">
        <v>273723367</v>
      </c>
      <c r="C93" s="22">
        <v>46251</v>
      </c>
      <c r="D93" s="19">
        <v>874877156090</v>
      </c>
      <c r="E93" s="37">
        <v>43440</v>
      </c>
      <c r="F93" t="s">
        <v>36</v>
      </c>
      <c r="G93">
        <v>0.5</v>
      </c>
      <c r="K93">
        <v>0.5</v>
      </c>
      <c r="L93" t="s">
        <v>19</v>
      </c>
      <c r="M93">
        <v>1031.7</v>
      </c>
      <c r="N93">
        <v>42.5</v>
      </c>
      <c r="O93">
        <v>0</v>
      </c>
      <c r="P93">
        <v>427</v>
      </c>
      <c r="Q93" s="5">
        <f t="shared" si="4"/>
        <v>0.39750512008936884</v>
      </c>
      <c r="R93" s="26">
        <f t="shared" si="5"/>
        <v>1501.2</v>
      </c>
      <c r="S93" s="27">
        <f t="shared" si="6"/>
        <v>1771.4159999999999</v>
      </c>
    </row>
    <row r="94" spans="1:19" x14ac:dyDescent="0.3">
      <c r="A94">
        <v>200010076</v>
      </c>
      <c r="B94" s="18">
        <v>273723367</v>
      </c>
      <c r="C94" s="22">
        <v>46251</v>
      </c>
      <c r="D94" s="19">
        <v>874877158196</v>
      </c>
      <c r="E94" s="37">
        <v>43461</v>
      </c>
      <c r="F94" t="s">
        <v>36</v>
      </c>
      <c r="G94">
        <v>0.5</v>
      </c>
      <c r="K94">
        <v>0.5</v>
      </c>
      <c r="L94" t="s">
        <v>19</v>
      </c>
      <c r="M94">
        <v>1031.7</v>
      </c>
      <c r="N94">
        <v>42.5</v>
      </c>
      <c r="O94">
        <v>0</v>
      </c>
      <c r="P94" s="8">
        <v>427</v>
      </c>
      <c r="Q94" s="5">
        <f t="shared" si="4"/>
        <v>0.39750512008936884</v>
      </c>
      <c r="R94" s="26">
        <f t="shared" si="5"/>
        <v>1501.2</v>
      </c>
      <c r="S94" s="27">
        <f t="shared" si="6"/>
        <v>1771.4159999999999</v>
      </c>
    </row>
    <row r="95" spans="1:19" x14ac:dyDescent="0.3">
      <c r="A95">
        <v>200010076</v>
      </c>
      <c r="B95" s="18">
        <v>273723367</v>
      </c>
      <c r="C95" s="22">
        <v>46251</v>
      </c>
      <c r="D95" s="19">
        <v>874877159777</v>
      </c>
      <c r="E95" s="37">
        <v>43458</v>
      </c>
      <c r="F95" t="s">
        <v>36</v>
      </c>
      <c r="G95">
        <v>0.5</v>
      </c>
      <c r="K95">
        <v>0.5</v>
      </c>
      <c r="L95" t="s">
        <v>19</v>
      </c>
      <c r="M95">
        <v>1031.7</v>
      </c>
      <c r="N95">
        <v>42.5</v>
      </c>
      <c r="O95">
        <v>0</v>
      </c>
      <c r="P95">
        <v>427</v>
      </c>
      <c r="Q95" s="5">
        <f t="shared" si="4"/>
        <v>0.39750512008936884</v>
      </c>
      <c r="R95" s="26">
        <f t="shared" si="5"/>
        <v>1501.2</v>
      </c>
      <c r="S95" s="27">
        <f t="shared" si="6"/>
        <v>1771.4159999999999</v>
      </c>
    </row>
    <row r="96" spans="1:19" x14ac:dyDescent="0.3">
      <c r="A96">
        <v>200010076</v>
      </c>
      <c r="B96" s="18">
        <v>273723367</v>
      </c>
      <c r="C96" s="22">
        <v>46251</v>
      </c>
      <c r="D96" s="19">
        <v>874877161550</v>
      </c>
      <c r="E96" s="37">
        <v>42993</v>
      </c>
      <c r="F96" t="s">
        <v>36</v>
      </c>
      <c r="G96">
        <v>0.5</v>
      </c>
      <c r="K96">
        <v>0.5</v>
      </c>
      <c r="L96" t="s">
        <v>19</v>
      </c>
      <c r="M96">
        <v>1031.7</v>
      </c>
      <c r="N96">
        <v>42.5</v>
      </c>
      <c r="O96">
        <v>0</v>
      </c>
      <c r="P96">
        <v>427</v>
      </c>
      <c r="Q96" s="5">
        <f t="shared" si="4"/>
        <v>0.39750512008936884</v>
      </c>
      <c r="R96" s="26">
        <f t="shared" si="5"/>
        <v>1501.2</v>
      </c>
      <c r="S96" s="27">
        <f t="shared" si="6"/>
        <v>1771.4159999999999</v>
      </c>
    </row>
    <row r="97" spans="1:19" x14ac:dyDescent="0.3">
      <c r="A97">
        <v>200010076</v>
      </c>
      <c r="B97" s="18">
        <v>273723367</v>
      </c>
      <c r="C97" s="22">
        <v>46251</v>
      </c>
      <c r="D97" s="19">
        <v>874877138003</v>
      </c>
      <c r="E97" s="37">
        <v>4117000499</v>
      </c>
      <c r="F97" t="s">
        <v>37</v>
      </c>
      <c r="G97">
        <v>11</v>
      </c>
      <c r="H97">
        <v>102</v>
      </c>
      <c r="I97">
        <v>25</v>
      </c>
      <c r="J97">
        <v>25</v>
      </c>
      <c r="K97">
        <v>11</v>
      </c>
      <c r="L97" t="s">
        <v>19</v>
      </c>
      <c r="M97">
        <v>4745.8</v>
      </c>
      <c r="N97">
        <v>726</v>
      </c>
      <c r="O97">
        <v>180</v>
      </c>
      <c r="P97">
        <v>2175</v>
      </c>
      <c r="Q97" s="5">
        <f t="shared" si="4"/>
        <v>0.38483315050072542</v>
      </c>
      <c r="R97" s="26">
        <f t="shared" si="5"/>
        <v>7826.8</v>
      </c>
      <c r="S97" s="27">
        <f t="shared" si="6"/>
        <v>9235.6239999999998</v>
      </c>
    </row>
    <row r="98" spans="1:19" x14ac:dyDescent="0.3">
      <c r="A98">
        <v>200010076</v>
      </c>
      <c r="B98" s="18">
        <v>273723367</v>
      </c>
      <c r="C98" s="22">
        <v>46251</v>
      </c>
      <c r="D98" s="19">
        <v>874879581290</v>
      </c>
      <c r="E98" s="37">
        <v>41524</v>
      </c>
      <c r="F98" t="s">
        <v>38</v>
      </c>
      <c r="G98">
        <v>3.5</v>
      </c>
      <c r="H98">
        <v>52</v>
      </c>
      <c r="I98">
        <v>19</v>
      </c>
      <c r="J98">
        <v>19</v>
      </c>
      <c r="K98">
        <v>3.5</v>
      </c>
      <c r="L98" t="s">
        <v>19</v>
      </c>
      <c r="M98">
        <v>1833.3</v>
      </c>
      <c r="N98">
        <v>231</v>
      </c>
      <c r="O98">
        <v>180</v>
      </c>
      <c r="P98">
        <v>908.3</v>
      </c>
      <c r="Q98" s="5">
        <f t="shared" si="4"/>
        <v>0.40471416477298039</v>
      </c>
      <c r="R98" s="26">
        <f t="shared" si="5"/>
        <v>3152.6000000000004</v>
      </c>
      <c r="S98" s="27">
        <f t="shared" si="6"/>
        <v>3720.0680000000002</v>
      </c>
    </row>
    <row r="99" spans="1:19" x14ac:dyDescent="0.3">
      <c r="A99">
        <v>200010076</v>
      </c>
      <c r="B99" s="18">
        <v>273723367</v>
      </c>
      <c r="C99" s="22">
        <v>46251</v>
      </c>
      <c r="D99" s="19">
        <v>874879588928</v>
      </c>
      <c r="E99" s="37">
        <v>41712</v>
      </c>
      <c r="F99" t="s">
        <v>38</v>
      </c>
      <c r="G99">
        <v>29.5</v>
      </c>
      <c r="H99">
        <v>86</v>
      </c>
      <c r="I99">
        <v>46</v>
      </c>
      <c r="J99">
        <v>44</v>
      </c>
      <c r="K99">
        <v>29.5</v>
      </c>
      <c r="L99" t="s">
        <v>19</v>
      </c>
      <c r="M99">
        <v>11619.6</v>
      </c>
      <c r="N99">
        <v>1947</v>
      </c>
      <c r="O99">
        <v>2415</v>
      </c>
      <c r="P99">
        <v>6952.7</v>
      </c>
      <c r="Q99" s="5">
        <f t="shared" si="4"/>
        <v>0.43504405065825696</v>
      </c>
      <c r="R99" s="26">
        <f t="shared" si="5"/>
        <v>22934.3</v>
      </c>
      <c r="S99" s="27">
        <f t="shared" si="6"/>
        <v>27062.473999999998</v>
      </c>
    </row>
    <row r="100" spans="1:19" x14ac:dyDescent="0.3">
      <c r="A100">
        <v>200010076</v>
      </c>
      <c r="B100" s="18">
        <v>273723367</v>
      </c>
      <c r="C100" s="22">
        <v>46251</v>
      </c>
      <c r="D100" s="19">
        <v>875053966090</v>
      </c>
      <c r="E100" s="37">
        <v>41563</v>
      </c>
      <c r="F100" t="s">
        <v>39</v>
      </c>
      <c r="G100">
        <v>10</v>
      </c>
      <c r="H100">
        <v>57</v>
      </c>
      <c r="I100">
        <v>32</v>
      </c>
      <c r="J100">
        <v>32</v>
      </c>
      <c r="K100">
        <v>10</v>
      </c>
      <c r="L100" t="s">
        <v>19</v>
      </c>
      <c r="M100">
        <v>3529.5</v>
      </c>
      <c r="N100">
        <v>660</v>
      </c>
      <c r="O100">
        <v>180</v>
      </c>
      <c r="P100">
        <v>1843.4</v>
      </c>
      <c r="Q100" s="5">
        <f t="shared" si="4"/>
        <v>0.42187893351642064</v>
      </c>
      <c r="R100" s="26">
        <f t="shared" si="5"/>
        <v>6212.9</v>
      </c>
      <c r="S100" s="27">
        <f t="shared" si="6"/>
        <v>7331.2219999999988</v>
      </c>
    </row>
    <row r="101" spans="1:19" x14ac:dyDescent="0.3">
      <c r="A101">
        <v>200010076</v>
      </c>
      <c r="B101" s="18">
        <v>273723367</v>
      </c>
      <c r="C101" s="22">
        <v>46251</v>
      </c>
      <c r="D101" s="19">
        <v>875054060532</v>
      </c>
      <c r="E101" s="37">
        <v>42634</v>
      </c>
      <c r="F101" t="s">
        <v>39</v>
      </c>
      <c r="G101">
        <v>7</v>
      </c>
      <c r="H101">
        <v>68</v>
      </c>
      <c r="I101">
        <v>25</v>
      </c>
      <c r="J101">
        <v>24</v>
      </c>
      <c r="K101">
        <v>7</v>
      </c>
      <c r="L101" t="s">
        <v>19</v>
      </c>
      <c r="M101">
        <v>2839.2</v>
      </c>
      <c r="N101">
        <v>462</v>
      </c>
      <c r="O101">
        <v>180</v>
      </c>
      <c r="P101">
        <v>1452.5</v>
      </c>
      <c r="Q101" s="5">
        <f t="shared" si="4"/>
        <v>0.41724118120188441</v>
      </c>
      <c r="R101" s="26">
        <f t="shared" si="5"/>
        <v>4933.7</v>
      </c>
      <c r="S101" s="27">
        <f t="shared" si="6"/>
        <v>5821.7659999999996</v>
      </c>
    </row>
    <row r="102" spans="1:19" x14ac:dyDescent="0.3">
      <c r="A102">
        <v>200010076</v>
      </c>
      <c r="B102" s="18">
        <v>273723367</v>
      </c>
      <c r="C102" s="22">
        <v>46251</v>
      </c>
      <c r="D102" s="19">
        <v>875054184370</v>
      </c>
      <c r="E102" s="37">
        <v>43509</v>
      </c>
      <c r="F102" t="s">
        <v>39</v>
      </c>
      <c r="G102">
        <v>0.5</v>
      </c>
      <c r="K102">
        <v>0.5</v>
      </c>
      <c r="L102" t="s">
        <v>19</v>
      </c>
      <c r="M102">
        <v>1031.7</v>
      </c>
      <c r="N102">
        <v>42.5</v>
      </c>
      <c r="O102">
        <v>0</v>
      </c>
      <c r="P102">
        <v>472.7</v>
      </c>
      <c r="Q102" s="5">
        <f t="shared" si="4"/>
        <v>0.44004840811766893</v>
      </c>
      <c r="R102" s="26">
        <f t="shared" si="5"/>
        <v>1546.9</v>
      </c>
      <c r="S102" s="27">
        <f t="shared" si="6"/>
        <v>1825.3420000000001</v>
      </c>
    </row>
    <row r="103" spans="1:19" x14ac:dyDescent="0.3">
      <c r="A103">
        <v>200010076</v>
      </c>
      <c r="B103" s="18">
        <v>273723367</v>
      </c>
      <c r="C103" s="22">
        <v>46251</v>
      </c>
      <c r="D103" s="19">
        <v>875054225845</v>
      </c>
      <c r="E103" s="37">
        <v>43666</v>
      </c>
      <c r="F103" t="s">
        <v>39</v>
      </c>
      <c r="G103">
        <v>0.5</v>
      </c>
      <c r="K103">
        <v>0.5</v>
      </c>
      <c r="L103" t="s">
        <v>19</v>
      </c>
      <c r="M103">
        <v>1031.7</v>
      </c>
      <c r="N103">
        <v>42.5</v>
      </c>
      <c r="O103">
        <v>0</v>
      </c>
      <c r="P103">
        <v>472.7</v>
      </c>
      <c r="Q103" s="5">
        <f t="shared" si="4"/>
        <v>0.44004840811766893</v>
      </c>
      <c r="R103" s="26">
        <f t="shared" si="5"/>
        <v>1546.9</v>
      </c>
      <c r="S103" s="27">
        <f t="shared" si="6"/>
        <v>1825.3420000000001</v>
      </c>
    </row>
    <row r="104" spans="1:19" x14ac:dyDescent="0.3">
      <c r="A104">
        <v>200010076</v>
      </c>
      <c r="B104" s="18">
        <v>273723367</v>
      </c>
      <c r="C104" s="22">
        <v>46251</v>
      </c>
      <c r="D104" s="19">
        <v>875107437072</v>
      </c>
      <c r="E104" s="37">
        <v>7871326</v>
      </c>
      <c r="F104" t="s">
        <v>40</v>
      </c>
      <c r="G104">
        <v>6.03</v>
      </c>
      <c r="H104">
        <v>43</v>
      </c>
      <c r="I104">
        <v>35</v>
      </c>
      <c r="J104">
        <v>21</v>
      </c>
      <c r="K104">
        <v>6</v>
      </c>
      <c r="L104" t="s">
        <v>19</v>
      </c>
      <c r="M104">
        <v>2609.1</v>
      </c>
      <c r="N104">
        <v>396</v>
      </c>
      <c r="O104">
        <v>180</v>
      </c>
      <c r="P104">
        <v>1322.2</v>
      </c>
      <c r="Q104" s="5">
        <f t="shared" si="4"/>
        <v>0.41512040438290793</v>
      </c>
      <c r="R104" s="26">
        <f t="shared" si="5"/>
        <v>4507.3</v>
      </c>
      <c r="S104" s="27">
        <f t="shared" si="6"/>
        <v>5318.6139999999996</v>
      </c>
    </row>
    <row r="105" spans="1:19" x14ac:dyDescent="0.3">
      <c r="A105">
        <v>200010076</v>
      </c>
      <c r="B105" s="18">
        <v>273723367</v>
      </c>
      <c r="C105" s="22">
        <v>46251</v>
      </c>
      <c r="D105" s="19">
        <v>875107441329</v>
      </c>
      <c r="E105" s="37">
        <v>38357</v>
      </c>
      <c r="F105" t="s">
        <v>40</v>
      </c>
      <c r="G105">
        <v>3.5</v>
      </c>
      <c r="H105">
        <v>29</v>
      </c>
      <c r="I105">
        <v>22</v>
      </c>
      <c r="J105">
        <v>15</v>
      </c>
      <c r="K105">
        <v>3.5</v>
      </c>
      <c r="L105" t="s">
        <v>19</v>
      </c>
      <c r="M105">
        <v>1833.3</v>
      </c>
      <c r="N105">
        <v>231</v>
      </c>
      <c r="O105">
        <v>180</v>
      </c>
      <c r="P105">
        <v>908.3</v>
      </c>
      <c r="Q105" s="5">
        <f t="shared" si="4"/>
        <v>0.40471416477298039</v>
      </c>
      <c r="R105" s="26">
        <f t="shared" si="5"/>
        <v>3152.6000000000004</v>
      </c>
      <c r="S105" s="27">
        <f t="shared" si="6"/>
        <v>3720.0680000000002</v>
      </c>
    </row>
    <row r="106" spans="1:19" x14ac:dyDescent="0.3">
      <c r="A106">
        <v>200010076</v>
      </c>
      <c r="B106" s="18">
        <v>273723367</v>
      </c>
      <c r="C106" s="22">
        <v>46251</v>
      </c>
      <c r="D106" s="19">
        <v>875107444740</v>
      </c>
      <c r="E106" s="37">
        <v>38825</v>
      </c>
      <c r="F106" t="s">
        <v>40</v>
      </c>
      <c r="G106">
        <v>14</v>
      </c>
      <c r="H106">
        <v>67</v>
      </c>
      <c r="I106">
        <v>36</v>
      </c>
      <c r="J106">
        <v>34</v>
      </c>
      <c r="K106">
        <v>14</v>
      </c>
      <c r="L106" t="s">
        <v>19</v>
      </c>
      <c r="M106">
        <v>5769.9</v>
      </c>
      <c r="N106">
        <v>924</v>
      </c>
      <c r="O106" s="8">
        <v>180</v>
      </c>
      <c r="P106" s="8">
        <v>2945.3</v>
      </c>
      <c r="Q106" s="5">
        <f t="shared" si="4"/>
        <v>0.42847582885989038</v>
      </c>
      <c r="R106" s="26">
        <f t="shared" si="5"/>
        <v>9819.2000000000007</v>
      </c>
      <c r="S106" s="27">
        <f t="shared" si="6"/>
        <v>11586.656000000001</v>
      </c>
    </row>
    <row r="107" spans="1:19" x14ac:dyDescent="0.3">
      <c r="A107">
        <v>200010076</v>
      </c>
      <c r="B107" s="18">
        <v>273723367</v>
      </c>
      <c r="C107" s="22">
        <v>46251</v>
      </c>
      <c r="D107" s="19">
        <v>875107445894</v>
      </c>
      <c r="E107" s="37">
        <v>39579</v>
      </c>
      <c r="F107" t="s">
        <v>40</v>
      </c>
      <c r="G107">
        <v>5.5</v>
      </c>
      <c r="H107">
        <v>60</v>
      </c>
      <c r="I107">
        <v>23</v>
      </c>
      <c r="J107">
        <v>21</v>
      </c>
      <c r="K107">
        <v>5.5</v>
      </c>
      <c r="L107" t="s">
        <v>19</v>
      </c>
      <c r="M107">
        <v>2494</v>
      </c>
      <c r="N107">
        <v>363</v>
      </c>
      <c r="O107">
        <v>180</v>
      </c>
      <c r="P107">
        <v>1257.0999999999999</v>
      </c>
      <c r="Q107" s="5">
        <f t="shared" si="4"/>
        <v>0.41392821863681262</v>
      </c>
      <c r="R107" s="26">
        <f t="shared" si="5"/>
        <v>4294.1000000000004</v>
      </c>
      <c r="S107" s="27">
        <f t="shared" si="6"/>
        <v>5067.0380000000005</v>
      </c>
    </row>
    <row r="108" spans="1:19" x14ac:dyDescent="0.3">
      <c r="A108">
        <v>200010076</v>
      </c>
      <c r="B108" s="18">
        <v>273723367</v>
      </c>
      <c r="C108" s="22">
        <v>46251</v>
      </c>
      <c r="D108" s="19">
        <v>875107449981</v>
      </c>
      <c r="E108" s="37">
        <v>39730</v>
      </c>
      <c r="F108" t="s">
        <v>40</v>
      </c>
      <c r="G108">
        <v>5</v>
      </c>
      <c r="H108">
        <v>59</v>
      </c>
      <c r="I108">
        <v>23</v>
      </c>
      <c r="J108">
        <v>21</v>
      </c>
      <c r="K108">
        <v>5</v>
      </c>
      <c r="L108" t="s">
        <v>19</v>
      </c>
      <c r="M108">
        <v>2231.6999999999998</v>
      </c>
      <c r="N108">
        <v>330</v>
      </c>
      <c r="O108">
        <v>180</v>
      </c>
      <c r="P108">
        <v>1127.2</v>
      </c>
      <c r="Q108" s="5">
        <f t="shared" si="4"/>
        <v>0.41113177955283225</v>
      </c>
      <c r="R108" s="26">
        <f t="shared" si="5"/>
        <v>3868.8999999999996</v>
      </c>
      <c r="S108" s="27">
        <f t="shared" si="6"/>
        <v>4565.3019999999997</v>
      </c>
    </row>
    <row r="109" spans="1:19" x14ac:dyDescent="0.3">
      <c r="A109">
        <v>200010076</v>
      </c>
      <c r="B109" s="18">
        <v>273723367</v>
      </c>
      <c r="C109" s="22">
        <v>46251</v>
      </c>
      <c r="D109" s="19">
        <v>875107455038</v>
      </c>
      <c r="E109" s="37">
        <v>39771</v>
      </c>
      <c r="F109" t="s">
        <v>40</v>
      </c>
      <c r="G109">
        <v>5</v>
      </c>
      <c r="H109">
        <v>46</v>
      </c>
      <c r="I109">
        <v>25</v>
      </c>
      <c r="J109">
        <v>25</v>
      </c>
      <c r="K109">
        <v>5</v>
      </c>
      <c r="L109" t="s">
        <v>19</v>
      </c>
      <c r="M109">
        <v>2231.6999999999998</v>
      </c>
      <c r="N109">
        <v>330</v>
      </c>
      <c r="O109">
        <v>180</v>
      </c>
      <c r="P109">
        <v>1127.2</v>
      </c>
      <c r="Q109" s="5">
        <f t="shared" si="4"/>
        <v>0.41113177955283225</v>
      </c>
      <c r="R109" s="26">
        <f t="shared" si="5"/>
        <v>3868.8999999999996</v>
      </c>
      <c r="S109" s="27">
        <f t="shared" si="6"/>
        <v>4565.3019999999997</v>
      </c>
    </row>
    <row r="110" spans="1:19" x14ac:dyDescent="0.3">
      <c r="A110">
        <v>200010076</v>
      </c>
      <c r="B110" s="18">
        <v>273723367</v>
      </c>
      <c r="C110" s="22">
        <v>46251</v>
      </c>
      <c r="D110" s="19">
        <v>875107457924</v>
      </c>
      <c r="E110" s="37">
        <v>7871501</v>
      </c>
      <c r="F110" t="s">
        <v>40</v>
      </c>
      <c r="G110">
        <v>1.5</v>
      </c>
      <c r="H110">
        <v>35</v>
      </c>
      <c r="I110">
        <v>19</v>
      </c>
      <c r="J110">
        <v>11</v>
      </c>
      <c r="K110">
        <v>1.5</v>
      </c>
      <c r="L110" t="s">
        <v>19</v>
      </c>
      <c r="M110">
        <v>1353.7</v>
      </c>
      <c r="N110">
        <v>99</v>
      </c>
      <c r="O110" s="8">
        <v>180</v>
      </c>
      <c r="P110" s="8">
        <v>639.20000000000005</v>
      </c>
      <c r="Q110" s="5">
        <f t="shared" si="4"/>
        <v>0.39149874441109822</v>
      </c>
      <c r="R110" s="26">
        <f t="shared" si="5"/>
        <v>2271.9</v>
      </c>
      <c r="S110" s="27">
        <f t="shared" si="6"/>
        <v>2680.8420000000001</v>
      </c>
    </row>
    <row r="111" spans="1:19" x14ac:dyDescent="0.3">
      <c r="A111">
        <v>200010076</v>
      </c>
      <c r="B111" s="18">
        <v>273723367</v>
      </c>
      <c r="C111" s="22">
        <v>46251</v>
      </c>
      <c r="D111" s="19">
        <v>875107465510</v>
      </c>
      <c r="E111" s="37">
        <v>40088</v>
      </c>
      <c r="F111" t="s">
        <v>40</v>
      </c>
      <c r="G111">
        <v>6</v>
      </c>
      <c r="H111">
        <v>57</v>
      </c>
      <c r="I111">
        <v>24</v>
      </c>
      <c r="J111">
        <v>24</v>
      </c>
      <c r="K111">
        <v>6</v>
      </c>
      <c r="L111" t="s">
        <v>19</v>
      </c>
      <c r="M111">
        <v>2609.1</v>
      </c>
      <c r="N111">
        <v>396</v>
      </c>
      <c r="O111" s="8">
        <v>180</v>
      </c>
      <c r="P111">
        <v>1322.2</v>
      </c>
      <c r="Q111" s="5">
        <f t="shared" si="4"/>
        <v>0.41512040438290793</v>
      </c>
      <c r="R111" s="26">
        <f t="shared" si="5"/>
        <v>4507.3</v>
      </c>
      <c r="S111" s="27">
        <f t="shared" si="6"/>
        <v>5318.6139999999996</v>
      </c>
    </row>
    <row r="112" spans="1:19" x14ac:dyDescent="0.3">
      <c r="A112">
        <v>200010076</v>
      </c>
      <c r="B112" s="18">
        <v>273723367</v>
      </c>
      <c r="C112" s="22">
        <v>46251</v>
      </c>
      <c r="D112" s="19">
        <v>875107469516</v>
      </c>
      <c r="E112" s="37">
        <v>40463</v>
      </c>
      <c r="F112" t="s">
        <v>40</v>
      </c>
      <c r="G112">
        <v>6.5</v>
      </c>
      <c r="H112">
        <v>51</v>
      </c>
      <c r="I112">
        <v>28</v>
      </c>
      <c r="J112">
        <v>25</v>
      </c>
      <c r="K112">
        <v>6.5</v>
      </c>
      <c r="L112" t="s">
        <v>19</v>
      </c>
      <c r="M112">
        <v>2724.1</v>
      </c>
      <c r="N112">
        <v>429</v>
      </c>
      <c r="O112" s="8">
        <v>180</v>
      </c>
      <c r="P112">
        <v>1387.4</v>
      </c>
      <c r="Q112" s="5">
        <f t="shared" si="4"/>
        <v>0.41624913743962083</v>
      </c>
      <c r="R112" s="26">
        <f t="shared" si="5"/>
        <v>4720.5</v>
      </c>
      <c r="S112" s="27">
        <f t="shared" si="6"/>
        <v>5570.19</v>
      </c>
    </row>
    <row r="113" spans="1:19" x14ac:dyDescent="0.3">
      <c r="A113">
        <v>200010076</v>
      </c>
      <c r="B113" s="18">
        <v>273723367</v>
      </c>
      <c r="C113" s="22">
        <v>46251</v>
      </c>
      <c r="D113" s="19">
        <v>875107475761</v>
      </c>
      <c r="E113" s="37">
        <v>40706</v>
      </c>
      <c r="F113" t="s">
        <v>40</v>
      </c>
      <c r="G113">
        <v>2</v>
      </c>
      <c r="H113">
        <v>55</v>
      </c>
      <c r="I113">
        <v>15</v>
      </c>
      <c r="J113">
        <v>12</v>
      </c>
      <c r="K113">
        <v>2</v>
      </c>
      <c r="L113" t="s">
        <v>19</v>
      </c>
      <c r="M113">
        <v>1512.5</v>
      </c>
      <c r="N113">
        <v>132</v>
      </c>
      <c r="O113" s="8">
        <v>180</v>
      </c>
      <c r="P113">
        <v>723.6</v>
      </c>
      <c r="Q113" s="5">
        <f t="shared" si="4"/>
        <v>0.3966018087147164</v>
      </c>
      <c r="R113" s="26">
        <f t="shared" si="5"/>
        <v>2548.1</v>
      </c>
      <c r="S113" s="27">
        <f t="shared" si="6"/>
        <v>3006.7579999999998</v>
      </c>
    </row>
    <row r="114" spans="1:19" x14ac:dyDescent="0.3">
      <c r="A114">
        <v>200010076</v>
      </c>
      <c r="B114" s="18">
        <v>273723367</v>
      </c>
      <c r="C114" s="22">
        <v>46251</v>
      </c>
      <c r="D114" s="19">
        <v>875107479149</v>
      </c>
      <c r="E114" s="37">
        <v>40821</v>
      </c>
      <c r="F114" t="s">
        <v>40</v>
      </c>
      <c r="G114">
        <v>9.5</v>
      </c>
      <c r="H114">
        <v>67</v>
      </c>
      <c r="I114">
        <v>28</v>
      </c>
      <c r="J114">
        <v>28</v>
      </c>
      <c r="K114">
        <v>9.5</v>
      </c>
      <c r="L114" t="s">
        <v>19</v>
      </c>
      <c r="M114">
        <v>3414.5</v>
      </c>
      <c r="N114">
        <v>627</v>
      </c>
      <c r="O114" s="8">
        <v>180</v>
      </c>
      <c r="P114" s="8">
        <v>1778.3</v>
      </c>
      <c r="Q114" s="5">
        <f t="shared" si="4"/>
        <v>0.42124837143195548</v>
      </c>
      <c r="R114" s="26">
        <f t="shared" si="5"/>
        <v>5999.8</v>
      </c>
      <c r="S114" s="27">
        <f t="shared" si="6"/>
        <v>7079.7640000000001</v>
      </c>
    </row>
    <row r="115" spans="1:19" x14ac:dyDescent="0.3">
      <c r="A115">
        <v>200010076</v>
      </c>
      <c r="B115" s="18">
        <v>273723367</v>
      </c>
      <c r="C115" s="22">
        <v>46251</v>
      </c>
      <c r="D115" s="19">
        <v>875107483119</v>
      </c>
      <c r="E115" s="37">
        <v>40842</v>
      </c>
      <c r="F115" t="s">
        <v>40</v>
      </c>
      <c r="G115">
        <v>2.63</v>
      </c>
      <c r="H115">
        <v>32</v>
      </c>
      <c r="I115">
        <v>25</v>
      </c>
      <c r="J115">
        <v>24</v>
      </c>
      <c r="K115">
        <v>3.2</v>
      </c>
      <c r="L115" t="s">
        <v>19</v>
      </c>
      <c r="M115">
        <v>1833.3</v>
      </c>
      <c r="N115">
        <v>231</v>
      </c>
      <c r="O115" s="8">
        <v>180</v>
      </c>
      <c r="P115">
        <v>908.3</v>
      </c>
      <c r="Q115" s="5">
        <f t="shared" si="4"/>
        <v>0.40471416477298039</v>
      </c>
      <c r="R115" s="26">
        <f t="shared" si="5"/>
        <v>3152.6000000000004</v>
      </c>
      <c r="S115" s="27">
        <f t="shared" si="6"/>
        <v>3720.0680000000002</v>
      </c>
    </row>
    <row r="116" spans="1:19" x14ac:dyDescent="0.3">
      <c r="A116">
        <v>200010076</v>
      </c>
      <c r="B116" s="18">
        <v>273723367</v>
      </c>
      <c r="C116" s="22">
        <v>46251</v>
      </c>
      <c r="D116" s="19">
        <v>875107486140</v>
      </c>
      <c r="E116" s="37">
        <v>7871594</v>
      </c>
      <c r="F116" t="s">
        <v>40</v>
      </c>
      <c r="G116">
        <v>2.4500000000000002</v>
      </c>
      <c r="H116">
        <v>32</v>
      </c>
      <c r="I116">
        <v>31</v>
      </c>
      <c r="J116">
        <v>11</v>
      </c>
      <c r="K116">
        <v>2.4</v>
      </c>
      <c r="L116" t="s">
        <v>19</v>
      </c>
      <c r="M116">
        <v>1671.3</v>
      </c>
      <c r="N116">
        <v>165</v>
      </c>
      <c r="O116" s="8">
        <v>180</v>
      </c>
      <c r="P116" s="8">
        <v>808</v>
      </c>
      <c r="Q116" s="5">
        <f t="shared" si="4"/>
        <v>0.40073401775529438</v>
      </c>
      <c r="R116" s="26">
        <f t="shared" si="5"/>
        <v>2824.3</v>
      </c>
      <c r="S116" s="27">
        <f t="shared" si="6"/>
        <v>3332.674</v>
      </c>
    </row>
    <row r="117" spans="1:19" x14ac:dyDescent="0.3">
      <c r="A117">
        <v>200010076</v>
      </c>
      <c r="B117" s="18">
        <v>273723367</v>
      </c>
      <c r="C117" s="22">
        <v>46251</v>
      </c>
      <c r="D117" s="19">
        <v>875107489757</v>
      </c>
      <c r="E117" s="37">
        <v>41079</v>
      </c>
      <c r="F117" t="s">
        <v>40</v>
      </c>
      <c r="G117">
        <v>5</v>
      </c>
      <c r="H117">
        <v>49</v>
      </c>
      <c r="I117">
        <v>25</v>
      </c>
      <c r="J117">
        <v>23</v>
      </c>
      <c r="K117">
        <v>5</v>
      </c>
      <c r="L117" t="s">
        <v>19</v>
      </c>
      <c r="M117">
        <v>2231.6999999999998</v>
      </c>
      <c r="N117">
        <v>330</v>
      </c>
      <c r="O117" s="8">
        <v>180</v>
      </c>
      <c r="P117" s="8">
        <v>1127.2</v>
      </c>
      <c r="Q117" s="5">
        <f t="shared" si="4"/>
        <v>0.41113177955283225</v>
      </c>
      <c r="R117" s="26">
        <f t="shared" si="5"/>
        <v>3868.8999999999996</v>
      </c>
      <c r="S117" s="27">
        <f t="shared" si="6"/>
        <v>4565.3019999999997</v>
      </c>
    </row>
    <row r="118" spans="1:19" x14ac:dyDescent="0.3">
      <c r="A118">
        <v>200010076</v>
      </c>
      <c r="B118" s="18">
        <v>273723367</v>
      </c>
      <c r="C118" s="22">
        <v>46251</v>
      </c>
      <c r="D118" s="19">
        <v>875107496760</v>
      </c>
      <c r="E118" s="37">
        <v>41222</v>
      </c>
      <c r="F118" t="s">
        <v>40</v>
      </c>
      <c r="G118">
        <v>4</v>
      </c>
      <c r="H118">
        <v>60</v>
      </c>
      <c r="I118">
        <v>20</v>
      </c>
      <c r="J118">
        <v>19</v>
      </c>
      <c r="K118">
        <v>4</v>
      </c>
      <c r="L118" t="s">
        <v>19</v>
      </c>
      <c r="M118">
        <v>1966.1</v>
      </c>
      <c r="N118">
        <v>264</v>
      </c>
      <c r="O118" s="8">
        <v>180</v>
      </c>
      <c r="P118">
        <v>981.2</v>
      </c>
      <c r="Q118" s="5">
        <f t="shared" si="4"/>
        <v>0.40712003651300777</v>
      </c>
      <c r="R118" s="26">
        <f t="shared" si="5"/>
        <v>3391.3</v>
      </c>
      <c r="S118" s="27">
        <f t="shared" si="6"/>
        <v>4001.7339999999999</v>
      </c>
    </row>
    <row r="119" spans="1:19" x14ac:dyDescent="0.3">
      <c r="A119">
        <v>200010076</v>
      </c>
      <c r="B119" s="18">
        <v>273723367</v>
      </c>
      <c r="C119" s="22">
        <v>46251</v>
      </c>
      <c r="D119" s="19">
        <v>875107500034</v>
      </c>
      <c r="E119" s="37">
        <v>41252</v>
      </c>
      <c r="F119" t="s">
        <v>40</v>
      </c>
      <c r="G119">
        <v>11.5</v>
      </c>
      <c r="H119">
        <v>82</v>
      </c>
      <c r="I119">
        <v>29</v>
      </c>
      <c r="J119">
        <v>28</v>
      </c>
      <c r="K119">
        <v>11.5</v>
      </c>
      <c r="L119" t="s">
        <v>19</v>
      </c>
      <c r="M119">
        <v>4916.5</v>
      </c>
      <c r="N119">
        <v>759</v>
      </c>
      <c r="O119" s="8">
        <v>180</v>
      </c>
      <c r="P119">
        <v>2497.1999999999998</v>
      </c>
      <c r="Q119" s="5">
        <f t="shared" si="4"/>
        <v>0.42647083938177777</v>
      </c>
      <c r="R119" s="26">
        <f t="shared" si="5"/>
        <v>8352.7000000000007</v>
      </c>
      <c r="S119" s="27">
        <f t="shared" si="6"/>
        <v>9856.1859999999997</v>
      </c>
    </row>
    <row r="120" spans="1:19" x14ac:dyDescent="0.3">
      <c r="A120">
        <v>200010076</v>
      </c>
      <c r="B120" s="18">
        <v>273723367</v>
      </c>
      <c r="C120" s="22">
        <v>46251</v>
      </c>
      <c r="D120" s="19">
        <v>875107503982</v>
      </c>
      <c r="E120" s="37">
        <v>41312</v>
      </c>
      <c r="F120" t="s">
        <v>40</v>
      </c>
      <c r="G120">
        <v>7.5</v>
      </c>
      <c r="H120">
        <v>70</v>
      </c>
      <c r="I120">
        <v>25</v>
      </c>
      <c r="J120">
        <v>25</v>
      </c>
      <c r="K120">
        <v>7.5</v>
      </c>
      <c r="L120" t="s">
        <v>19</v>
      </c>
      <c r="M120">
        <v>2954.2</v>
      </c>
      <c r="N120">
        <v>495</v>
      </c>
      <c r="O120" s="8">
        <v>0</v>
      </c>
      <c r="P120">
        <v>1517.7</v>
      </c>
      <c r="Q120" s="5">
        <f t="shared" si="4"/>
        <v>0.44001507595964284</v>
      </c>
      <c r="R120" s="26">
        <f t="shared" si="5"/>
        <v>4966.8999999999996</v>
      </c>
      <c r="S120" s="27">
        <f t="shared" si="6"/>
        <v>5860.9419999999991</v>
      </c>
    </row>
    <row r="121" spans="1:19" x14ac:dyDescent="0.3">
      <c r="A121">
        <v>200010076</v>
      </c>
      <c r="B121" s="18">
        <v>273723367</v>
      </c>
      <c r="C121" s="22">
        <v>46251</v>
      </c>
      <c r="D121" s="19">
        <v>875107510539</v>
      </c>
      <c r="E121" s="37">
        <v>41386</v>
      </c>
      <c r="F121" t="s">
        <v>40</v>
      </c>
      <c r="G121">
        <v>3.5</v>
      </c>
      <c r="H121">
        <v>44</v>
      </c>
      <c r="I121">
        <v>21</v>
      </c>
      <c r="J121">
        <v>20</v>
      </c>
      <c r="K121">
        <v>3.5</v>
      </c>
      <c r="L121" t="s">
        <v>19</v>
      </c>
      <c r="M121">
        <v>1833.3</v>
      </c>
      <c r="N121">
        <v>231</v>
      </c>
      <c r="O121" s="8">
        <v>180</v>
      </c>
      <c r="P121" s="8">
        <v>908.3</v>
      </c>
      <c r="Q121" s="5">
        <f t="shared" si="4"/>
        <v>0.40471416477298039</v>
      </c>
      <c r="R121" s="26">
        <f t="shared" si="5"/>
        <v>3152.6000000000004</v>
      </c>
      <c r="S121" s="27">
        <f t="shared" si="6"/>
        <v>3720.0680000000002</v>
      </c>
    </row>
    <row r="122" spans="1:19" x14ac:dyDescent="0.3">
      <c r="A122">
        <v>200010076</v>
      </c>
      <c r="B122" s="18">
        <v>273723367</v>
      </c>
      <c r="C122" s="22">
        <v>46251</v>
      </c>
      <c r="D122" s="19">
        <v>875107519054</v>
      </c>
      <c r="E122" s="37">
        <v>4095154950</v>
      </c>
      <c r="F122" t="s">
        <v>40</v>
      </c>
      <c r="G122">
        <v>2.72</v>
      </c>
      <c r="H122">
        <v>44</v>
      </c>
      <c r="I122">
        <v>34</v>
      </c>
      <c r="J122">
        <v>31</v>
      </c>
      <c r="K122">
        <v>7.7</v>
      </c>
      <c r="L122" t="s">
        <v>19</v>
      </c>
      <c r="M122">
        <v>3069.3</v>
      </c>
      <c r="N122">
        <v>528</v>
      </c>
      <c r="O122" s="8">
        <v>0</v>
      </c>
      <c r="P122" s="8">
        <v>1582.8</v>
      </c>
      <c r="Q122" s="5">
        <f t="shared" si="4"/>
        <v>0.43999666416479022</v>
      </c>
      <c r="R122" s="26">
        <f t="shared" si="5"/>
        <v>5180.1000000000004</v>
      </c>
      <c r="S122" s="27">
        <f t="shared" si="6"/>
        <v>6112.518</v>
      </c>
    </row>
    <row r="123" spans="1:19" x14ac:dyDescent="0.3">
      <c r="A123">
        <v>200010076</v>
      </c>
      <c r="B123" s="18">
        <v>273723367</v>
      </c>
      <c r="C123" s="22">
        <v>46251</v>
      </c>
      <c r="D123" s="19">
        <v>875107523035</v>
      </c>
      <c r="E123" s="37">
        <v>41470</v>
      </c>
      <c r="F123" t="s">
        <v>40</v>
      </c>
      <c r="G123">
        <v>11.5</v>
      </c>
      <c r="H123">
        <v>64</v>
      </c>
      <c r="I123">
        <v>32</v>
      </c>
      <c r="J123">
        <v>32</v>
      </c>
      <c r="K123">
        <v>11.5</v>
      </c>
      <c r="L123" t="s">
        <v>19</v>
      </c>
      <c r="M123">
        <v>4916.5</v>
      </c>
      <c r="N123">
        <v>759</v>
      </c>
      <c r="O123" s="8">
        <v>180</v>
      </c>
      <c r="P123">
        <v>2497.1999999999998</v>
      </c>
      <c r="Q123" s="5">
        <f t="shared" si="4"/>
        <v>0.42647083938177777</v>
      </c>
      <c r="R123" s="26">
        <f t="shared" si="5"/>
        <v>8352.7000000000007</v>
      </c>
      <c r="S123" s="27">
        <f t="shared" si="6"/>
        <v>9856.1859999999997</v>
      </c>
    </row>
    <row r="124" spans="1:19" x14ac:dyDescent="0.3">
      <c r="A124">
        <v>200010076</v>
      </c>
      <c r="B124" s="18">
        <v>273723367</v>
      </c>
      <c r="C124" s="22">
        <v>46251</v>
      </c>
      <c r="D124" s="19">
        <v>875107529548</v>
      </c>
      <c r="E124" s="37">
        <v>41586</v>
      </c>
      <c r="F124" t="s">
        <v>40</v>
      </c>
      <c r="G124">
        <v>8</v>
      </c>
      <c r="H124">
        <v>65</v>
      </c>
      <c r="I124">
        <v>28</v>
      </c>
      <c r="J124">
        <v>26</v>
      </c>
      <c r="K124">
        <v>8</v>
      </c>
      <c r="L124" t="s">
        <v>19</v>
      </c>
      <c r="M124">
        <v>3069.3</v>
      </c>
      <c r="N124">
        <v>528</v>
      </c>
      <c r="O124" s="8">
        <v>180</v>
      </c>
      <c r="P124">
        <v>1582.8</v>
      </c>
      <c r="Q124" s="5">
        <f t="shared" si="4"/>
        <v>0.41902946549122388</v>
      </c>
      <c r="R124" s="26">
        <f t="shared" si="5"/>
        <v>5360.1</v>
      </c>
      <c r="S124" s="27">
        <f t="shared" si="6"/>
        <v>6324.9179999999997</v>
      </c>
    </row>
    <row r="125" spans="1:19" x14ac:dyDescent="0.3">
      <c r="A125">
        <v>200010076</v>
      </c>
      <c r="B125" s="18">
        <v>273723367</v>
      </c>
      <c r="C125" s="22">
        <v>46251</v>
      </c>
      <c r="D125" s="19">
        <v>875107533047</v>
      </c>
      <c r="E125" s="37">
        <v>41663</v>
      </c>
      <c r="F125" t="s">
        <v>40</v>
      </c>
      <c r="G125">
        <v>9</v>
      </c>
      <c r="H125">
        <v>55</v>
      </c>
      <c r="I125">
        <v>31</v>
      </c>
      <c r="J125">
        <v>30</v>
      </c>
      <c r="K125">
        <v>9</v>
      </c>
      <c r="L125" t="s">
        <v>19</v>
      </c>
      <c r="M125">
        <v>3299.4</v>
      </c>
      <c r="N125">
        <v>594</v>
      </c>
      <c r="O125" s="8">
        <v>180</v>
      </c>
      <c r="P125" s="8">
        <v>1713.1</v>
      </c>
      <c r="Q125" s="5">
        <f t="shared" si="4"/>
        <v>0.42055776501202924</v>
      </c>
      <c r="R125" s="26">
        <f t="shared" si="5"/>
        <v>5786.5</v>
      </c>
      <c r="S125" s="27">
        <f t="shared" si="6"/>
        <v>6828.07</v>
      </c>
    </row>
    <row r="126" spans="1:19" x14ac:dyDescent="0.3">
      <c r="A126">
        <v>200010076</v>
      </c>
      <c r="B126" s="18">
        <v>273723367</v>
      </c>
      <c r="C126" s="22">
        <v>46251</v>
      </c>
      <c r="D126" s="19">
        <v>875107536127</v>
      </c>
      <c r="E126" s="37">
        <v>41754</v>
      </c>
      <c r="F126" t="s">
        <v>40</v>
      </c>
      <c r="G126">
        <v>1.5</v>
      </c>
      <c r="H126">
        <v>33</v>
      </c>
      <c r="I126">
        <v>25</v>
      </c>
      <c r="J126">
        <v>13</v>
      </c>
      <c r="K126">
        <v>1.8</v>
      </c>
      <c r="L126" t="s">
        <v>19</v>
      </c>
      <c r="M126">
        <v>1512.5</v>
      </c>
      <c r="N126">
        <v>132</v>
      </c>
      <c r="O126" s="8">
        <v>180</v>
      </c>
      <c r="P126">
        <v>723.6</v>
      </c>
      <c r="Q126" s="5">
        <f t="shared" si="4"/>
        <v>0.3966018087147164</v>
      </c>
      <c r="R126" s="26">
        <f t="shared" si="5"/>
        <v>2548.1</v>
      </c>
      <c r="S126" s="27">
        <f t="shared" si="6"/>
        <v>3006.7579999999998</v>
      </c>
    </row>
    <row r="127" spans="1:19" x14ac:dyDescent="0.3">
      <c r="A127">
        <v>200010076</v>
      </c>
      <c r="B127" s="18">
        <v>273723367</v>
      </c>
      <c r="C127" s="22">
        <v>46251</v>
      </c>
      <c r="D127" s="19">
        <v>875107541012</v>
      </c>
      <c r="E127" s="37">
        <v>41847</v>
      </c>
      <c r="F127" t="s">
        <v>40</v>
      </c>
      <c r="G127">
        <v>6</v>
      </c>
      <c r="H127">
        <v>51</v>
      </c>
      <c r="I127">
        <v>28</v>
      </c>
      <c r="J127">
        <v>23</v>
      </c>
      <c r="K127">
        <v>6</v>
      </c>
      <c r="L127" t="s">
        <v>19</v>
      </c>
      <c r="M127">
        <v>2609.1</v>
      </c>
      <c r="N127">
        <v>396</v>
      </c>
      <c r="O127" s="8">
        <v>180</v>
      </c>
      <c r="P127">
        <v>1322.2</v>
      </c>
      <c r="Q127" s="5">
        <f t="shared" si="4"/>
        <v>0.41512040438290793</v>
      </c>
      <c r="R127" s="26">
        <f t="shared" si="5"/>
        <v>4507.3</v>
      </c>
      <c r="S127" s="27">
        <f t="shared" si="6"/>
        <v>5318.6139999999996</v>
      </c>
    </row>
    <row r="128" spans="1:19" x14ac:dyDescent="0.3">
      <c r="A128">
        <v>200010076</v>
      </c>
      <c r="B128" s="18">
        <v>273723367</v>
      </c>
      <c r="C128" s="22">
        <v>46251</v>
      </c>
      <c r="D128" s="19">
        <v>875107546805</v>
      </c>
      <c r="E128" s="37">
        <v>41939</v>
      </c>
      <c r="F128" t="s">
        <v>40</v>
      </c>
      <c r="G128">
        <v>7</v>
      </c>
      <c r="H128">
        <v>57</v>
      </c>
      <c r="I128">
        <v>28</v>
      </c>
      <c r="J128">
        <v>25</v>
      </c>
      <c r="K128">
        <v>7</v>
      </c>
      <c r="L128" t="s">
        <v>19</v>
      </c>
      <c r="M128">
        <v>2839.2</v>
      </c>
      <c r="N128">
        <v>462</v>
      </c>
      <c r="O128" s="8">
        <v>180</v>
      </c>
      <c r="P128" s="8">
        <v>1452.5</v>
      </c>
      <c r="Q128" s="5">
        <f t="shared" si="4"/>
        <v>0.41724118120188441</v>
      </c>
      <c r="R128" s="26">
        <f t="shared" si="5"/>
        <v>4933.7</v>
      </c>
      <c r="S128" s="27">
        <f t="shared" si="6"/>
        <v>5821.7659999999996</v>
      </c>
    </row>
    <row r="129" spans="1:19" x14ac:dyDescent="0.3">
      <c r="A129">
        <v>200010076</v>
      </c>
      <c r="B129" s="18">
        <v>273723367</v>
      </c>
      <c r="C129" s="22">
        <v>46251</v>
      </c>
      <c r="D129" s="19">
        <v>875107549322</v>
      </c>
      <c r="E129" s="37">
        <v>41962</v>
      </c>
      <c r="F129" t="s">
        <v>40</v>
      </c>
      <c r="G129">
        <v>5</v>
      </c>
      <c r="H129">
        <v>42</v>
      </c>
      <c r="I129">
        <v>26</v>
      </c>
      <c r="J129">
        <v>26</v>
      </c>
      <c r="K129">
        <v>5</v>
      </c>
      <c r="L129" t="s">
        <v>19</v>
      </c>
      <c r="M129">
        <v>2231.6999999999998</v>
      </c>
      <c r="N129">
        <v>330</v>
      </c>
      <c r="O129" s="8">
        <v>180</v>
      </c>
      <c r="P129" s="8">
        <v>1127.2</v>
      </c>
      <c r="Q129" s="5">
        <f t="shared" si="4"/>
        <v>0.41113177955283225</v>
      </c>
      <c r="R129" s="26">
        <f t="shared" si="5"/>
        <v>3868.8999999999996</v>
      </c>
      <c r="S129" s="27">
        <f t="shared" si="6"/>
        <v>4565.3019999999997</v>
      </c>
    </row>
    <row r="130" spans="1:19" x14ac:dyDescent="0.3">
      <c r="A130">
        <v>200010076</v>
      </c>
      <c r="B130" s="18">
        <v>273723367</v>
      </c>
      <c r="C130" s="22">
        <v>46251</v>
      </c>
      <c r="D130" s="19">
        <v>875107552649</v>
      </c>
      <c r="E130" s="37">
        <v>42027</v>
      </c>
      <c r="F130" t="s">
        <v>40</v>
      </c>
      <c r="G130">
        <v>5</v>
      </c>
      <c r="H130">
        <v>51</v>
      </c>
      <c r="I130">
        <v>23</v>
      </c>
      <c r="J130">
        <v>22</v>
      </c>
      <c r="K130">
        <v>5</v>
      </c>
      <c r="L130" t="s">
        <v>19</v>
      </c>
      <c r="M130">
        <v>2231.6999999999998</v>
      </c>
      <c r="N130">
        <v>330</v>
      </c>
      <c r="O130" s="8">
        <v>180</v>
      </c>
      <c r="P130" s="8">
        <v>1127.2</v>
      </c>
      <c r="Q130" s="5">
        <f t="shared" si="4"/>
        <v>0.41113177955283225</v>
      </c>
      <c r="R130" s="26">
        <f t="shared" si="5"/>
        <v>3868.8999999999996</v>
      </c>
      <c r="S130" s="27">
        <f t="shared" si="6"/>
        <v>4565.3019999999997</v>
      </c>
    </row>
    <row r="131" spans="1:19" x14ac:dyDescent="0.3">
      <c r="A131">
        <v>200010076</v>
      </c>
      <c r="B131" s="18">
        <v>273723367</v>
      </c>
      <c r="C131" s="22">
        <v>46251</v>
      </c>
      <c r="D131" s="19">
        <v>875107555383</v>
      </c>
      <c r="E131" s="37">
        <v>42057</v>
      </c>
      <c r="F131" t="s">
        <v>40</v>
      </c>
      <c r="G131">
        <v>10</v>
      </c>
      <c r="H131">
        <v>57</v>
      </c>
      <c r="I131">
        <v>33</v>
      </c>
      <c r="J131">
        <v>31</v>
      </c>
      <c r="K131">
        <v>10</v>
      </c>
      <c r="L131" t="s">
        <v>19</v>
      </c>
      <c r="M131">
        <v>3529.5</v>
      </c>
      <c r="N131">
        <v>660</v>
      </c>
      <c r="O131" s="8">
        <v>0</v>
      </c>
      <c r="P131" s="8">
        <v>1843.4</v>
      </c>
      <c r="Q131" s="5">
        <f t="shared" si="4"/>
        <v>0.44000477383936032</v>
      </c>
      <c r="R131" s="26">
        <f t="shared" si="5"/>
        <v>6032.9</v>
      </c>
      <c r="S131" s="27">
        <f t="shared" si="6"/>
        <v>7118.8219999999992</v>
      </c>
    </row>
    <row r="132" spans="1:19" x14ac:dyDescent="0.3">
      <c r="A132">
        <v>200010076</v>
      </c>
      <c r="B132" s="18">
        <v>273723367</v>
      </c>
      <c r="C132" s="22">
        <v>46251</v>
      </c>
      <c r="D132" s="19">
        <v>875107558420</v>
      </c>
      <c r="E132" s="37">
        <v>42109</v>
      </c>
      <c r="F132" t="s">
        <v>40</v>
      </c>
      <c r="G132">
        <v>16</v>
      </c>
      <c r="H132">
        <v>73</v>
      </c>
      <c r="I132">
        <v>36</v>
      </c>
      <c r="J132">
        <v>36</v>
      </c>
      <c r="K132">
        <v>16</v>
      </c>
      <c r="L132" t="s">
        <v>19</v>
      </c>
      <c r="M132">
        <v>6452.6</v>
      </c>
      <c r="N132">
        <v>1056</v>
      </c>
      <c r="O132" s="8">
        <v>180</v>
      </c>
      <c r="P132" s="8">
        <v>3303.8</v>
      </c>
      <c r="Q132" s="5">
        <f t="shared" si="4"/>
        <v>0.42970111593788207</v>
      </c>
      <c r="R132" s="26">
        <f t="shared" si="5"/>
        <v>10992.400000000001</v>
      </c>
      <c r="S132" s="27">
        <f t="shared" si="6"/>
        <v>12971.032000000001</v>
      </c>
    </row>
    <row r="133" spans="1:19" x14ac:dyDescent="0.3">
      <c r="A133">
        <v>200010076</v>
      </c>
      <c r="B133" s="18">
        <v>273723367</v>
      </c>
      <c r="C133" s="22">
        <v>46251</v>
      </c>
      <c r="D133" s="19">
        <v>875107562992</v>
      </c>
      <c r="E133" s="37">
        <v>42179</v>
      </c>
      <c r="F133" t="s">
        <v>40</v>
      </c>
      <c r="G133">
        <v>6.5</v>
      </c>
      <c r="H133">
        <v>49</v>
      </c>
      <c r="I133">
        <v>29</v>
      </c>
      <c r="J133">
        <v>23</v>
      </c>
      <c r="K133">
        <v>6.5</v>
      </c>
      <c r="L133" t="s">
        <v>19</v>
      </c>
      <c r="M133">
        <v>2724.1</v>
      </c>
      <c r="N133">
        <v>429</v>
      </c>
      <c r="O133" s="8">
        <v>280</v>
      </c>
      <c r="P133" s="8">
        <v>1387.4</v>
      </c>
      <c r="Q133" s="5">
        <f t="shared" ref="Q133:Q196" si="7">+P133/SUM(M133:O133)</f>
        <v>0.40412455215402993</v>
      </c>
      <c r="R133" s="26">
        <f t="shared" ref="R133:R196" si="8">SUM(M133:P133)</f>
        <v>4820.5</v>
      </c>
      <c r="S133" s="27">
        <f t="shared" ref="S133:S196" si="9">+R133*1.18</f>
        <v>5688.19</v>
      </c>
    </row>
    <row r="134" spans="1:19" x14ac:dyDescent="0.3">
      <c r="A134">
        <v>200010076</v>
      </c>
      <c r="B134" s="18">
        <v>273723367</v>
      </c>
      <c r="C134" s="22">
        <v>46251</v>
      </c>
      <c r="D134" s="19">
        <v>875107567457</v>
      </c>
      <c r="E134" s="37">
        <v>4108173057</v>
      </c>
      <c r="F134" t="s">
        <v>40</v>
      </c>
      <c r="G134">
        <v>4.5</v>
      </c>
      <c r="H134">
        <v>46</v>
      </c>
      <c r="I134">
        <v>24</v>
      </c>
      <c r="J134">
        <v>24</v>
      </c>
      <c r="K134">
        <v>4.5</v>
      </c>
      <c r="L134" t="s">
        <v>19</v>
      </c>
      <c r="M134">
        <v>2098.9</v>
      </c>
      <c r="N134">
        <v>297</v>
      </c>
      <c r="O134" s="8">
        <v>180</v>
      </c>
      <c r="P134" s="8">
        <v>1054.2</v>
      </c>
      <c r="Q134" s="5">
        <f t="shared" si="7"/>
        <v>0.40925501766372918</v>
      </c>
      <c r="R134" s="26">
        <f t="shared" si="8"/>
        <v>3630.1000000000004</v>
      </c>
      <c r="S134" s="27">
        <f t="shared" si="9"/>
        <v>4283.518</v>
      </c>
    </row>
    <row r="135" spans="1:19" x14ac:dyDescent="0.3">
      <c r="A135">
        <v>200010076</v>
      </c>
      <c r="B135" s="18">
        <v>273723367</v>
      </c>
      <c r="C135" s="22">
        <v>46251</v>
      </c>
      <c r="D135" s="19">
        <v>875107570019</v>
      </c>
      <c r="E135" s="37">
        <v>42258</v>
      </c>
      <c r="F135" t="s">
        <v>40</v>
      </c>
      <c r="G135">
        <v>6.5</v>
      </c>
      <c r="H135">
        <v>49</v>
      </c>
      <c r="I135">
        <v>28</v>
      </c>
      <c r="J135">
        <v>26</v>
      </c>
      <c r="K135">
        <v>6.5</v>
      </c>
      <c r="L135" t="s">
        <v>19</v>
      </c>
      <c r="M135">
        <v>2724.1</v>
      </c>
      <c r="N135">
        <v>429</v>
      </c>
      <c r="O135" s="8">
        <v>180</v>
      </c>
      <c r="P135">
        <v>1387.4</v>
      </c>
      <c r="Q135" s="5">
        <f t="shared" si="7"/>
        <v>0.41624913743962083</v>
      </c>
      <c r="R135" s="26">
        <f t="shared" si="8"/>
        <v>4720.5</v>
      </c>
      <c r="S135" s="27">
        <f t="shared" si="9"/>
        <v>5570.19</v>
      </c>
    </row>
    <row r="136" spans="1:19" x14ac:dyDescent="0.3">
      <c r="A136">
        <v>200010076</v>
      </c>
      <c r="B136" s="18">
        <v>273723367</v>
      </c>
      <c r="C136" s="22">
        <v>46251</v>
      </c>
      <c r="D136" s="19">
        <v>875107572342</v>
      </c>
      <c r="E136" s="37">
        <v>42326</v>
      </c>
      <c r="F136" t="s">
        <v>40</v>
      </c>
      <c r="G136">
        <v>10</v>
      </c>
      <c r="H136">
        <v>75</v>
      </c>
      <c r="I136">
        <v>27</v>
      </c>
      <c r="J136">
        <v>27</v>
      </c>
      <c r="K136">
        <v>10</v>
      </c>
      <c r="L136" t="s">
        <v>19</v>
      </c>
      <c r="M136">
        <v>3529.5</v>
      </c>
      <c r="N136">
        <v>660</v>
      </c>
      <c r="O136" s="8">
        <v>0</v>
      </c>
      <c r="P136">
        <v>1843.4</v>
      </c>
      <c r="Q136" s="5">
        <f t="shared" si="7"/>
        <v>0.44000477383936032</v>
      </c>
      <c r="R136" s="26">
        <f t="shared" si="8"/>
        <v>6032.9</v>
      </c>
      <c r="S136" s="27">
        <f t="shared" si="9"/>
        <v>7118.8219999999992</v>
      </c>
    </row>
    <row r="137" spans="1:19" x14ac:dyDescent="0.3">
      <c r="A137">
        <v>200010076</v>
      </c>
      <c r="B137" s="18">
        <v>273723367</v>
      </c>
      <c r="C137" s="22">
        <v>46251</v>
      </c>
      <c r="D137" s="19">
        <v>875107579428</v>
      </c>
      <c r="E137" s="37">
        <v>42376</v>
      </c>
      <c r="F137" t="s">
        <v>40</v>
      </c>
      <c r="G137">
        <v>7.5</v>
      </c>
      <c r="H137">
        <v>42</v>
      </c>
      <c r="I137">
        <v>31</v>
      </c>
      <c r="J137">
        <v>31</v>
      </c>
      <c r="K137">
        <v>7.5</v>
      </c>
      <c r="L137" t="s">
        <v>19</v>
      </c>
      <c r="M137">
        <v>2954.2</v>
      </c>
      <c r="N137">
        <v>495</v>
      </c>
      <c r="O137" s="8">
        <v>180</v>
      </c>
      <c r="P137" s="8">
        <v>1517.7</v>
      </c>
      <c r="Q137" s="5">
        <f t="shared" si="7"/>
        <v>0.41819133693375954</v>
      </c>
      <c r="R137" s="26">
        <f t="shared" si="8"/>
        <v>5146.8999999999996</v>
      </c>
      <c r="S137" s="27">
        <f t="shared" si="9"/>
        <v>6073.3419999999996</v>
      </c>
    </row>
    <row r="138" spans="1:19" x14ac:dyDescent="0.3">
      <c r="A138">
        <v>200010076</v>
      </c>
      <c r="B138" s="18">
        <v>273723367</v>
      </c>
      <c r="C138" s="22">
        <v>46251</v>
      </c>
      <c r="D138" s="19">
        <v>875107581277</v>
      </c>
      <c r="E138" s="37">
        <v>42507</v>
      </c>
      <c r="F138" t="s">
        <v>40</v>
      </c>
      <c r="G138">
        <v>6</v>
      </c>
      <c r="H138">
        <v>56</v>
      </c>
      <c r="I138">
        <v>25</v>
      </c>
      <c r="J138">
        <v>25</v>
      </c>
      <c r="K138">
        <v>6</v>
      </c>
      <c r="L138" t="s">
        <v>19</v>
      </c>
      <c r="M138">
        <v>2609.1</v>
      </c>
      <c r="N138">
        <v>396</v>
      </c>
      <c r="O138" s="8">
        <v>180</v>
      </c>
      <c r="P138" s="8">
        <v>1322.2</v>
      </c>
      <c r="Q138" s="5">
        <f t="shared" si="7"/>
        <v>0.41512040438290793</v>
      </c>
      <c r="R138" s="26">
        <f t="shared" si="8"/>
        <v>4507.3</v>
      </c>
      <c r="S138" s="27">
        <f t="shared" si="9"/>
        <v>5318.6139999999996</v>
      </c>
    </row>
    <row r="139" spans="1:19" x14ac:dyDescent="0.3">
      <c r="A139">
        <v>200010076</v>
      </c>
      <c r="B139" s="18">
        <v>273723367</v>
      </c>
      <c r="C139" s="22">
        <v>46251</v>
      </c>
      <c r="D139" s="19">
        <v>875107591359</v>
      </c>
      <c r="E139" s="37">
        <v>42618</v>
      </c>
      <c r="F139" t="s">
        <v>40</v>
      </c>
      <c r="G139">
        <v>7.5</v>
      </c>
      <c r="H139">
        <v>53</v>
      </c>
      <c r="I139">
        <v>29</v>
      </c>
      <c r="J139">
        <v>28</v>
      </c>
      <c r="K139">
        <v>7.5</v>
      </c>
      <c r="L139" t="s">
        <v>19</v>
      </c>
      <c r="M139">
        <v>2954.2</v>
      </c>
      <c r="N139">
        <v>495</v>
      </c>
      <c r="O139" s="8">
        <v>180</v>
      </c>
      <c r="P139">
        <v>1517.7</v>
      </c>
      <c r="Q139" s="5">
        <f t="shared" si="7"/>
        <v>0.41819133693375954</v>
      </c>
      <c r="R139" s="26">
        <f t="shared" si="8"/>
        <v>5146.8999999999996</v>
      </c>
      <c r="S139" s="27">
        <f t="shared" si="9"/>
        <v>6073.3419999999996</v>
      </c>
    </row>
    <row r="140" spans="1:19" x14ac:dyDescent="0.3">
      <c r="A140">
        <v>200010076</v>
      </c>
      <c r="B140" s="18">
        <v>273723367</v>
      </c>
      <c r="C140" s="22">
        <v>46251</v>
      </c>
      <c r="D140" s="19">
        <v>875107598320</v>
      </c>
      <c r="E140" s="37">
        <v>42644</v>
      </c>
      <c r="F140" t="s">
        <v>40</v>
      </c>
      <c r="G140">
        <v>5</v>
      </c>
      <c r="H140">
        <v>50</v>
      </c>
      <c r="I140">
        <v>24</v>
      </c>
      <c r="J140">
        <v>24</v>
      </c>
      <c r="K140">
        <v>5</v>
      </c>
      <c r="L140" t="s">
        <v>19</v>
      </c>
      <c r="M140">
        <v>2231.6999999999998</v>
      </c>
      <c r="N140">
        <v>330</v>
      </c>
      <c r="O140" s="8">
        <v>180</v>
      </c>
      <c r="P140">
        <v>1127.2</v>
      </c>
      <c r="Q140" s="5">
        <f t="shared" si="7"/>
        <v>0.41113177955283225</v>
      </c>
      <c r="R140" s="26">
        <f t="shared" si="8"/>
        <v>3868.8999999999996</v>
      </c>
      <c r="S140" s="27">
        <f t="shared" si="9"/>
        <v>4565.3019999999997</v>
      </c>
    </row>
    <row r="141" spans="1:19" x14ac:dyDescent="0.3">
      <c r="A141">
        <v>200010076</v>
      </c>
      <c r="B141" s="18">
        <v>273723367</v>
      </c>
      <c r="C141" s="22">
        <v>46251</v>
      </c>
      <c r="D141" s="19">
        <v>875107601170</v>
      </c>
      <c r="E141" s="37">
        <v>42670</v>
      </c>
      <c r="F141" t="s">
        <v>40</v>
      </c>
      <c r="G141">
        <v>9</v>
      </c>
      <c r="H141">
        <v>59</v>
      </c>
      <c r="I141">
        <v>31</v>
      </c>
      <c r="J141">
        <v>29</v>
      </c>
      <c r="K141">
        <v>9</v>
      </c>
      <c r="L141" t="s">
        <v>19</v>
      </c>
      <c r="M141">
        <v>3299.4</v>
      </c>
      <c r="N141">
        <v>594</v>
      </c>
      <c r="O141" s="8">
        <v>180</v>
      </c>
      <c r="P141" s="8">
        <v>1713.1</v>
      </c>
      <c r="Q141" s="5">
        <f t="shared" si="7"/>
        <v>0.42055776501202924</v>
      </c>
      <c r="R141" s="26">
        <f t="shared" si="8"/>
        <v>5786.5</v>
      </c>
      <c r="S141" s="27">
        <f t="shared" si="9"/>
        <v>6828.07</v>
      </c>
    </row>
    <row r="142" spans="1:19" x14ac:dyDescent="0.3">
      <c r="A142">
        <v>200010076</v>
      </c>
      <c r="B142" s="18">
        <v>273723367</v>
      </c>
      <c r="C142" s="22">
        <v>46251</v>
      </c>
      <c r="D142" s="19">
        <v>875107605624</v>
      </c>
      <c r="E142" s="37">
        <v>42800</v>
      </c>
      <c r="F142" t="s">
        <v>40</v>
      </c>
      <c r="G142">
        <v>4.5</v>
      </c>
      <c r="H142">
        <v>55</v>
      </c>
      <c r="I142">
        <v>23</v>
      </c>
      <c r="J142">
        <v>20</v>
      </c>
      <c r="K142">
        <v>4.5</v>
      </c>
      <c r="L142" t="s">
        <v>19</v>
      </c>
      <c r="M142">
        <v>2098.9</v>
      </c>
      <c r="N142">
        <v>297</v>
      </c>
      <c r="O142" s="8">
        <v>180</v>
      </c>
      <c r="P142">
        <v>1054.2</v>
      </c>
      <c r="Q142" s="5">
        <f t="shared" si="7"/>
        <v>0.40925501766372918</v>
      </c>
      <c r="R142" s="26">
        <f t="shared" si="8"/>
        <v>3630.1000000000004</v>
      </c>
      <c r="S142" s="27">
        <f t="shared" si="9"/>
        <v>4283.518</v>
      </c>
    </row>
    <row r="143" spans="1:19" x14ac:dyDescent="0.3">
      <c r="A143">
        <v>200010076</v>
      </c>
      <c r="B143" s="18">
        <v>273723367</v>
      </c>
      <c r="C143" s="22">
        <v>46251</v>
      </c>
      <c r="D143" s="19">
        <v>875107608987</v>
      </c>
      <c r="E143" s="37">
        <v>42824</v>
      </c>
      <c r="F143" t="s">
        <v>40</v>
      </c>
      <c r="G143">
        <v>9.5</v>
      </c>
      <c r="H143">
        <v>76</v>
      </c>
      <c r="I143">
        <v>29</v>
      </c>
      <c r="J143">
        <v>25</v>
      </c>
      <c r="K143">
        <v>9.5</v>
      </c>
      <c r="L143" t="s">
        <v>19</v>
      </c>
      <c r="M143">
        <v>3414.5</v>
      </c>
      <c r="N143">
        <v>627</v>
      </c>
      <c r="O143" s="8">
        <v>180</v>
      </c>
      <c r="P143" s="8">
        <v>1778.3</v>
      </c>
      <c r="Q143" s="5">
        <f t="shared" si="7"/>
        <v>0.42124837143195548</v>
      </c>
      <c r="R143" s="26">
        <f t="shared" si="8"/>
        <v>5999.8</v>
      </c>
      <c r="S143" s="27">
        <f t="shared" si="9"/>
        <v>7079.7640000000001</v>
      </c>
    </row>
    <row r="144" spans="1:19" x14ac:dyDescent="0.3">
      <c r="A144">
        <v>200010076</v>
      </c>
      <c r="B144" s="18">
        <v>273723367</v>
      </c>
      <c r="C144" s="22">
        <v>46251</v>
      </c>
      <c r="D144" s="19">
        <v>875107613221</v>
      </c>
      <c r="E144" s="37">
        <v>42857</v>
      </c>
      <c r="F144" t="s">
        <v>40</v>
      </c>
      <c r="G144">
        <v>5</v>
      </c>
      <c r="H144">
        <v>44</v>
      </c>
      <c r="I144">
        <v>27</v>
      </c>
      <c r="J144">
        <v>22</v>
      </c>
      <c r="K144">
        <v>5</v>
      </c>
      <c r="L144" t="s">
        <v>19</v>
      </c>
      <c r="M144">
        <v>2231.6999999999998</v>
      </c>
      <c r="N144">
        <v>330</v>
      </c>
      <c r="O144" s="8">
        <v>180</v>
      </c>
      <c r="P144" s="8">
        <v>1127.2</v>
      </c>
      <c r="Q144" s="5">
        <f t="shared" si="7"/>
        <v>0.41113177955283225</v>
      </c>
      <c r="R144" s="26">
        <f t="shared" si="8"/>
        <v>3868.8999999999996</v>
      </c>
      <c r="S144" s="27">
        <f t="shared" si="9"/>
        <v>4565.3019999999997</v>
      </c>
    </row>
    <row r="145" spans="1:19" x14ac:dyDescent="0.3">
      <c r="A145">
        <v>200010076</v>
      </c>
      <c r="B145" s="18">
        <v>273723367</v>
      </c>
      <c r="C145" s="22">
        <v>46251</v>
      </c>
      <c r="D145" s="19">
        <v>875107616242</v>
      </c>
      <c r="E145" s="37">
        <v>42897</v>
      </c>
      <c r="F145" t="s">
        <v>40</v>
      </c>
      <c r="G145">
        <v>6.5</v>
      </c>
      <c r="H145">
        <v>34</v>
      </c>
      <c r="I145">
        <v>31</v>
      </c>
      <c r="J145">
        <v>29</v>
      </c>
      <c r="K145">
        <v>6.5</v>
      </c>
      <c r="L145" t="s">
        <v>19</v>
      </c>
      <c r="M145">
        <v>2724.1</v>
      </c>
      <c r="N145">
        <v>429</v>
      </c>
      <c r="O145" s="8">
        <v>180</v>
      </c>
      <c r="P145" s="8">
        <v>1387.4</v>
      </c>
      <c r="Q145" s="5">
        <f t="shared" si="7"/>
        <v>0.41624913743962083</v>
      </c>
      <c r="R145" s="26">
        <f t="shared" si="8"/>
        <v>4720.5</v>
      </c>
      <c r="S145" s="27">
        <f t="shared" si="9"/>
        <v>5570.19</v>
      </c>
    </row>
    <row r="146" spans="1:19" x14ac:dyDescent="0.3">
      <c r="A146">
        <v>200010076</v>
      </c>
      <c r="B146" s="18">
        <v>273723367</v>
      </c>
      <c r="C146" s="22">
        <v>46251</v>
      </c>
      <c r="D146" s="19">
        <v>875107619697</v>
      </c>
      <c r="E146" s="37">
        <v>42908</v>
      </c>
      <c r="F146" t="s">
        <v>40</v>
      </c>
      <c r="G146">
        <v>6</v>
      </c>
      <c r="H146">
        <v>49</v>
      </c>
      <c r="I146">
        <v>28</v>
      </c>
      <c r="J146">
        <v>26</v>
      </c>
      <c r="K146">
        <v>6</v>
      </c>
      <c r="L146" t="s">
        <v>19</v>
      </c>
      <c r="M146">
        <v>2609.1</v>
      </c>
      <c r="N146">
        <v>396</v>
      </c>
      <c r="O146" s="8">
        <v>180</v>
      </c>
      <c r="P146" s="8">
        <v>1322.2</v>
      </c>
      <c r="Q146" s="5">
        <f t="shared" si="7"/>
        <v>0.41512040438290793</v>
      </c>
      <c r="R146" s="26">
        <f t="shared" si="8"/>
        <v>4507.3</v>
      </c>
      <c r="S146" s="27">
        <f t="shared" si="9"/>
        <v>5318.6139999999996</v>
      </c>
    </row>
    <row r="147" spans="1:19" x14ac:dyDescent="0.3">
      <c r="A147">
        <v>200010076</v>
      </c>
      <c r="B147" s="18">
        <v>273723367</v>
      </c>
      <c r="C147" s="22">
        <v>46251</v>
      </c>
      <c r="D147" s="19">
        <v>875107623440</v>
      </c>
      <c r="E147" s="37">
        <v>42915</v>
      </c>
      <c r="F147" t="s">
        <v>40</v>
      </c>
      <c r="G147">
        <v>2.5</v>
      </c>
      <c r="H147">
        <v>29</v>
      </c>
      <c r="I147">
        <v>23</v>
      </c>
      <c r="J147">
        <v>21</v>
      </c>
      <c r="K147">
        <v>2.5</v>
      </c>
      <c r="L147" t="s">
        <v>19</v>
      </c>
      <c r="M147">
        <v>1671.3</v>
      </c>
      <c r="N147">
        <v>165</v>
      </c>
      <c r="O147" s="8">
        <v>180</v>
      </c>
      <c r="P147" s="8">
        <v>808</v>
      </c>
      <c r="Q147" s="5">
        <f t="shared" si="7"/>
        <v>0.40073401775529438</v>
      </c>
      <c r="R147" s="26">
        <f t="shared" si="8"/>
        <v>2824.3</v>
      </c>
      <c r="S147" s="27">
        <f t="shared" si="9"/>
        <v>3332.674</v>
      </c>
    </row>
    <row r="148" spans="1:19" x14ac:dyDescent="0.3">
      <c r="A148">
        <v>200010076</v>
      </c>
      <c r="B148" s="18">
        <v>273723367</v>
      </c>
      <c r="C148" s="22">
        <v>46251</v>
      </c>
      <c r="D148" s="19">
        <v>875107630420</v>
      </c>
      <c r="E148" s="37">
        <v>42989</v>
      </c>
      <c r="F148" t="s">
        <v>40</v>
      </c>
      <c r="G148">
        <v>5</v>
      </c>
      <c r="H148">
        <v>50</v>
      </c>
      <c r="I148">
        <v>24</v>
      </c>
      <c r="J148">
        <v>23</v>
      </c>
      <c r="K148">
        <v>5</v>
      </c>
      <c r="L148" t="s">
        <v>19</v>
      </c>
      <c r="M148">
        <v>2231.6999999999998</v>
      </c>
      <c r="N148">
        <v>330</v>
      </c>
      <c r="O148" s="8">
        <v>180</v>
      </c>
      <c r="P148">
        <v>1127.2</v>
      </c>
      <c r="Q148" s="5">
        <f t="shared" si="7"/>
        <v>0.41113177955283225</v>
      </c>
      <c r="R148" s="26">
        <f t="shared" si="8"/>
        <v>3868.8999999999996</v>
      </c>
      <c r="S148" s="27">
        <f t="shared" si="9"/>
        <v>4565.3019999999997</v>
      </c>
    </row>
    <row r="149" spans="1:19" x14ac:dyDescent="0.3">
      <c r="A149">
        <v>200010076</v>
      </c>
      <c r="B149" s="18">
        <v>273723367</v>
      </c>
      <c r="C149" s="22">
        <v>46251</v>
      </c>
      <c r="D149" s="19">
        <v>875107633223</v>
      </c>
      <c r="E149" s="37">
        <v>4117403062</v>
      </c>
      <c r="F149" t="s">
        <v>40</v>
      </c>
      <c r="G149">
        <v>6</v>
      </c>
      <c r="H149">
        <v>48</v>
      </c>
      <c r="I149">
        <v>28</v>
      </c>
      <c r="J149">
        <v>24</v>
      </c>
      <c r="K149">
        <v>6</v>
      </c>
      <c r="L149" t="s">
        <v>19</v>
      </c>
      <c r="M149">
        <v>2609.1</v>
      </c>
      <c r="N149">
        <v>396</v>
      </c>
      <c r="O149" s="8">
        <v>180</v>
      </c>
      <c r="P149" s="8">
        <v>1322.2</v>
      </c>
      <c r="Q149" s="5">
        <f t="shared" si="7"/>
        <v>0.41512040438290793</v>
      </c>
      <c r="R149" s="26">
        <f t="shared" si="8"/>
        <v>4507.3</v>
      </c>
      <c r="S149" s="27">
        <f t="shared" si="9"/>
        <v>5318.6139999999996</v>
      </c>
    </row>
    <row r="150" spans="1:19" x14ac:dyDescent="0.3">
      <c r="A150">
        <v>200010076</v>
      </c>
      <c r="B150" s="18">
        <v>273723367</v>
      </c>
      <c r="C150" s="22">
        <v>46251</v>
      </c>
      <c r="D150" s="19">
        <v>875107638030</v>
      </c>
      <c r="E150" s="37">
        <v>43040</v>
      </c>
      <c r="F150" t="s">
        <v>40</v>
      </c>
      <c r="G150">
        <v>26.5</v>
      </c>
      <c r="H150">
        <v>73</v>
      </c>
      <c r="I150">
        <v>48</v>
      </c>
      <c r="J150">
        <v>45</v>
      </c>
      <c r="K150">
        <v>26.5</v>
      </c>
      <c r="L150" t="s">
        <v>19</v>
      </c>
      <c r="M150">
        <v>10474.6</v>
      </c>
      <c r="N150">
        <v>1749</v>
      </c>
      <c r="O150" s="8">
        <v>2415</v>
      </c>
      <c r="P150" s="8">
        <v>6361.8</v>
      </c>
      <c r="Q150" s="5">
        <f t="shared" si="7"/>
        <v>0.43459073955159644</v>
      </c>
      <c r="R150" s="26">
        <f t="shared" si="8"/>
        <v>21000.400000000001</v>
      </c>
      <c r="S150" s="27">
        <f t="shared" si="9"/>
        <v>24780.472000000002</v>
      </c>
    </row>
    <row r="151" spans="1:19" x14ac:dyDescent="0.3">
      <c r="A151">
        <v>200010076</v>
      </c>
      <c r="B151" s="18">
        <v>273723367</v>
      </c>
      <c r="C151" s="22">
        <v>46251</v>
      </c>
      <c r="D151" s="19">
        <v>875107640453</v>
      </c>
      <c r="E151" s="37">
        <v>43053</v>
      </c>
      <c r="F151" t="s">
        <v>40</v>
      </c>
      <c r="G151">
        <v>6</v>
      </c>
      <c r="H151">
        <v>50</v>
      </c>
      <c r="I151">
        <v>28</v>
      </c>
      <c r="J151">
        <v>25</v>
      </c>
      <c r="K151">
        <v>6</v>
      </c>
      <c r="L151" t="s">
        <v>19</v>
      </c>
      <c r="M151">
        <v>2609.1</v>
      </c>
      <c r="N151">
        <v>396</v>
      </c>
      <c r="O151" s="8">
        <v>180</v>
      </c>
      <c r="P151" s="8">
        <v>1322.2</v>
      </c>
      <c r="Q151" s="5">
        <f t="shared" si="7"/>
        <v>0.41512040438290793</v>
      </c>
      <c r="R151" s="26">
        <f t="shared" si="8"/>
        <v>4507.3</v>
      </c>
      <c r="S151" s="27">
        <f t="shared" si="9"/>
        <v>5318.6139999999996</v>
      </c>
    </row>
    <row r="152" spans="1:19" x14ac:dyDescent="0.3">
      <c r="A152">
        <v>200010076</v>
      </c>
      <c r="B152" s="18">
        <v>273723367</v>
      </c>
      <c r="C152" s="22">
        <v>46251</v>
      </c>
      <c r="D152" s="19">
        <v>875107645797</v>
      </c>
      <c r="E152" s="37">
        <v>43060</v>
      </c>
      <c r="F152" t="s">
        <v>40</v>
      </c>
      <c r="G152">
        <v>1.95</v>
      </c>
      <c r="H152">
        <v>53</v>
      </c>
      <c r="I152">
        <v>22</v>
      </c>
      <c r="J152">
        <v>20</v>
      </c>
      <c r="K152">
        <v>3.9</v>
      </c>
      <c r="L152" t="s">
        <v>19</v>
      </c>
      <c r="M152">
        <v>1966.1</v>
      </c>
      <c r="N152">
        <v>264</v>
      </c>
      <c r="O152" s="8">
        <v>180</v>
      </c>
      <c r="P152" s="8">
        <v>981.2</v>
      </c>
      <c r="Q152" s="5">
        <f t="shared" si="7"/>
        <v>0.40712003651300777</v>
      </c>
      <c r="R152" s="26">
        <f t="shared" si="8"/>
        <v>3391.3</v>
      </c>
      <c r="S152" s="27">
        <f t="shared" si="9"/>
        <v>4001.7339999999999</v>
      </c>
    </row>
    <row r="153" spans="1:19" x14ac:dyDescent="0.3">
      <c r="A153">
        <v>200010076</v>
      </c>
      <c r="B153" s="18">
        <v>273723367</v>
      </c>
      <c r="C153" s="22">
        <v>46251</v>
      </c>
      <c r="D153" s="19">
        <v>875107652549</v>
      </c>
      <c r="E153" s="37">
        <v>43061</v>
      </c>
      <c r="F153" t="s">
        <v>40</v>
      </c>
      <c r="G153">
        <v>1.22</v>
      </c>
      <c r="H153">
        <v>36</v>
      </c>
      <c r="I153">
        <v>28</v>
      </c>
      <c r="J153">
        <v>15</v>
      </c>
      <c r="K153">
        <v>2.5</v>
      </c>
      <c r="L153" t="s">
        <v>19</v>
      </c>
      <c r="M153">
        <v>1671.3</v>
      </c>
      <c r="N153">
        <v>165</v>
      </c>
      <c r="O153" s="8">
        <v>180</v>
      </c>
      <c r="P153" s="8">
        <v>808</v>
      </c>
      <c r="Q153" s="5">
        <f t="shared" si="7"/>
        <v>0.40073401775529438</v>
      </c>
      <c r="R153" s="26">
        <f t="shared" si="8"/>
        <v>2824.3</v>
      </c>
      <c r="S153" s="27">
        <f t="shared" si="9"/>
        <v>3332.674</v>
      </c>
    </row>
    <row r="154" spans="1:19" x14ac:dyDescent="0.3">
      <c r="A154">
        <v>200010076</v>
      </c>
      <c r="B154" s="18">
        <v>273723367</v>
      </c>
      <c r="C154" s="22">
        <v>46251</v>
      </c>
      <c r="D154" s="19">
        <v>875107662491</v>
      </c>
      <c r="E154" s="37">
        <v>4119821365</v>
      </c>
      <c r="F154" t="s">
        <v>40</v>
      </c>
      <c r="G154">
        <v>7.5</v>
      </c>
      <c r="H154">
        <v>65</v>
      </c>
      <c r="I154">
        <v>29</v>
      </c>
      <c r="J154">
        <v>22</v>
      </c>
      <c r="K154">
        <v>7.5</v>
      </c>
      <c r="L154" t="s">
        <v>19</v>
      </c>
      <c r="M154">
        <v>2954.2</v>
      </c>
      <c r="N154">
        <v>495</v>
      </c>
      <c r="O154" s="8">
        <v>180</v>
      </c>
      <c r="P154">
        <v>1517.7</v>
      </c>
      <c r="Q154" s="5">
        <f t="shared" si="7"/>
        <v>0.41819133693375954</v>
      </c>
      <c r="R154" s="26">
        <f t="shared" si="8"/>
        <v>5146.8999999999996</v>
      </c>
      <c r="S154" s="27">
        <f t="shared" si="9"/>
        <v>6073.3419999999996</v>
      </c>
    </row>
    <row r="155" spans="1:19" x14ac:dyDescent="0.3">
      <c r="A155">
        <v>200010076</v>
      </c>
      <c r="B155" s="18">
        <v>273723367</v>
      </c>
      <c r="C155" s="22">
        <v>46251</v>
      </c>
      <c r="D155" s="19">
        <v>875107665468</v>
      </c>
      <c r="E155" s="37">
        <v>43071</v>
      </c>
      <c r="F155" t="s">
        <v>40</v>
      </c>
      <c r="G155">
        <v>7</v>
      </c>
      <c r="H155">
        <v>47</v>
      </c>
      <c r="I155">
        <v>30</v>
      </c>
      <c r="J155">
        <v>29</v>
      </c>
      <c r="K155">
        <v>7</v>
      </c>
      <c r="L155" t="s">
        <v>19</v>
      </c>
      <c r="M155">
        <v>2839.2</v>
      </c>
      <c r="N155">
        <v>462</v>
      </c>
      <c r="O155" s="8">
        <v>180</v>
      </c>
      <c r="P155" s="8">
        <v>1452.5</v>
      </c>
      <c r="Q155" s="5">
        <f t="shared" si="7"/>
        <v>0.41724118120188441</v>
      </c>
      <c r="R155" s="26">
        <f t="shared" si="8"/>
        <v>4933.7</v>
      </c>
      <c r="S155" s="27">
        <f t="shared" si="9"/>
        <v>5821.7659999999996</v>
      </c>
    </row>
    <row r="156" spans="1:19" x14ac:dyDescent="0.3">
      <c r="A156">
        <v>200010076</v>
      </c>
      <c r="B156" s="18">
        <v>273723367</v>
      </c>
      <c r="C156" s="22">
        <v>46251</v>
      </c>
      <c r="D156" s="19">
        <v>875107668504</v>
      </c>
      <c r="E156" s="37">
        <v>43092</v>
      </c>
      <c r="F156" t="s">
        <v>40</v>
      </c>
      <c r="G156">
        <v>4.5</v>
      </c>
      <c r="H156">
        <v>40</v>
      </c>
      <c r="I156">
        <v>32</v>
      </c>
      <c r="J156">
        <v>28</v>
      </c>
      <c r="K156">
        <v>6</v>
      </c>
      <c r="L156" t="s">
        <v>19</v>
      </c>
      <c r="M156">
        <v>2609.1</v>
      </c>
      <c r="N156">
        <v>396</v>
      </c>
      <c r="O156" s="8">
        <v>180</v>
      </c>
      <c r="P156">
        <v>1322.2</v>
      </c>
      <c r="Q156" s="5">
        <f t="shared" si="7"/>
        <v>0.41512040438290793</v>
      </c>
      <c r="R156" s="26">
        <f t="shared" si="8"/>
        <v>4507.3</v>
      </c>
      <c r="S156" s="27">
        <f t="shared" si="9"/>
        <v>5318.6139999999996</v>
      </c>
    </row>
    <row r="157" spans="1:19" x14ac:dyDescent="0.3">
      <c r="A157">
        <v>200010076</v>
      </c>
      <c r="B157" s="18">
        <v>273723367</v>
      </c>
      <c r="C157" s="22">
        <v>46251</v>
      </c>
      <c r="D157" s="19">
        <v>875107673926</v>
      </c>
      <c r="E157" s="37">
        <v>43102</v>
      </c>
      <c r="F157" t="s">
        <v>40</v>
      </c>
      <c r="G157">
        <v>6.5</v>
      </c>
      <c r="H157">
        <v>59</v>
      </c>
      <c r="I157">
        <v>26</v>
      </c>
      <c r="J157">
        <v>25</v>
      </c>
      <c r="K157">
        <v>6.5</v>
      </c>
      <c r="L157" t="s">
        <v>19</v>
      </c>
      <c r="M157">
        <v>2724.1</v>
      </c>
      <c r="N157">
        <v>429</v>
      </c>
      <c r="O157" s="8">
        <v>180</v>
      </c>
      <c r="P157" s="8">
        <v>1387.4</v>
      </c>
      <c r="Q157" s="5">
        <f t="shared" si="7"/>
        <v>0.41624913743962083</v>
      </c>
      <c r="R157" s="26">
        <f t="shared" si="8"/>
        <v>4720.5</v>
      </c>
      <c r="S157" s="27">
        <f t="shared" si="9"/>
        <v>5570.19</v>
      </c>
    </row>
    <row r="158" spans="1:19" x14ac:dyDescent="0.3">
      <c r="A158">
        <v>200010076</v>
      </c>
      <c r="B158" s="18">
        <v>273723367</v>
      </c>
      <c r="C158" s="22">
        <v>46251</v>
      </c>
      <c r="D158" s="19">
        <v>875107675642</v>
      </c>
      <c r="E158" s="37">
        <v>43112</v>
      </c>
      <c r="F158" t="s">
        <v>40</v>
      </c>
      <c r="G158">
        <v>5.5</v>
      </c>
      <c r="H158">
        <v>48</v>
      </c>
      <c r="I158">
        <v>25</v>
      </c>
      <c r="J158">
        <v>25</v>
      </c>
      <c r="K158">
        <v>5.5</v>
      </c>
      <c r="L158" t="s">
        <v>19</v>
      </c>
      <c r="M158">
        <v>2494</v>
      </c>
      <c r="N158">
        <v>363</v>
      </c>
      <c r="O158" s="8">
        <v>180</v>
      </c>
      <c r="P158" s="8">
        <v>1257.0999999999999</v>
      </c>
      <c r="Q158" s="5">
        <f t="shared" si="7"/>
        <v>0.41392821863681262</v>
      </c>
      <c r="R158" s="26">
        <f t="shared" si="8"/>
        <v>4294.1000000000004</v>
      </c>
      <c r="S158" s="27">
        <f t="shared" si="9"/>
        <v>5067.0380000000005</v>
      </c>
    </row>
    <row r="159" spans="1:19" x14ac:dyDescent="0.3">
      <c r="A159">
        <v>200010076</v>
      </c>
      <c r="B159" s="18">
        <v>273723367</v>
      </c>
      <c r="C159" s="22">
        <v>46251</v>
      </c>
      <c r="D159" s="19">
        <v>875107681821</v>
      </c>
      <c r="E159" s="37">
        <v>43118</v>
      </c>
      <c r="F159" t="s">
        <v>40</v>
      </c>
      <c r="G159">
        <v>5</v>
      </c>
      <c r="H159">
        <v>61</v>
      </c>
      <c r="I159">
        <v>22</v>
      </c>
      <c r="J159">
        <v>20</v>
      </c>
      <c r="K159">
        <v>5</v>
      </c>
      <c r="L159" t="s">
        <v>19</v>
      </c>
      <c r="M159">
        <v>2231.6999999999998</v>
      </c>
      <c r="N159">
        <v>330</v>
      </c>
      <c r="O159" s="8">
        <v>180</v>
      </c>
      <c r="P159">
        <v>1127.2</v>
      </c>
      <c r="Q159" s="5">
        <f t="shared" si="7"/>
        <v>0.41113177955283225</v>
      </c>
      <c r="R159" s="26">
        <f t="shared" si="8"/>
        <v>3868.8999999999996</v>
      </c>
      <c r="S159" s="27">
        <f t="shared" si="9"/>
        <v>4565.3019999999997</v>
      </c>
    </row>
    <row r="160" spans="1:19" x14ac:dyDescent="0.3">
      <c r="A160">
        <v>200010076</v>
      </c>
      <c r="B160" s="18">
        <v>273723367</v>
      </c>
      <c r="C160" s="22">
        <v>46251</v>
      </c>
      <c r="D160" s="19">
        <v>875107685713</v>
      </c>
      <c r="E160" s="37">
        <v>43145</v>
      </c>
      <c r="F160" t="s">
        <v>40</v>
      </c>
      <c r="G160">
        <v>6.5</v>
      </c>
      <c r="H160">
        <v>64</v>
      </c>
      <c r="I160">
        <v>24</v>
      </c>
      <c r="J160">
        <v>24</v>
      </c>
      <c r="K160">
        <v>6.5</v>
      </c>
      <c r="L160" t="s">
        <v>19</v>
      </c>
      <c r="M160">
        <v>2724.1</v>
      </c>
      <c r="N160">
        <v>429</v>
      </c>
      <c r="O160" s="8">
        <v>180</v>
      </c>
      <c r="P160" s="8">
        <v>1387.4</v>
      </c>
      <c r="Q160" s="5">
        <f t="shared" si="7"/>
        <v>0.41624913743962083</v>
      </c>
      <c r="R160" s="26">
        <f t="shared" si="8"/>
        <v>4720.5</v>
      </c>
      <c r="S160" s="27">
        <f t="shared" si="9"/>
        <v>5570.19</v>
      </c>
    </row>
    <row r="161" spans="1:19" x14ac:dyDescent="0.3">
      <c r="A161">
        <v>200010076</v>
      </c>
      <c r="B161" s="18">
        <v>273723367</v>
      </c>
      <c r="C161" s="22">
        <v>46251</v>
      </c>
      <c r="D161" s="19">
        <v>875107689498</v>
      </c>
      <c r="E161" s="37">
        <v>43155</v>
      </c>
      <c r="F161" t="s">
        <v>40</v>
      </c>
      <c r="G161">
        <v>6.5</v>
      </c>
      <c r="H161">
        <v>53</v>
      </c>
      <c r="I161">
        <v>28</v>
      </c>
      <c r="J161">
        <v>24</v>
      </c>
      <c r="K161">
        <v>6.5</v>
      </c>
      <c r="L161" t="s">
        <v>19</v>
      </c>
      <c r="M161">
        <v>2724.1</v>
      </c>
      <c r="N161">
        <v>429</v>
      </c>
      <c r="O161" s="8">
        <v>180</v>
      </c>
      <c r="P161">
        <v>1387.4</v>
      </c>
      <c r="Q161" s="5">
        <f t="shared" si="7"/>
        <v>0.41624913743962083</v>
      </c>
      <c r="R161" s="26">
        <f t="shared" si="8"/>
        <v>4720.5</v>
      </c>
      <c r="S161" s="27">
        <f t="shared" si="9"/>
        <v>5570.19</v>
      </c>
    </row>
    <row r="162" spans="1:19" x14ac:dyDescent="0.3">
      <c r="A162">
        <v>200010076</v>
      </c>
      <c r="B162" s="18">
        <v>273723367</v>
      </c>
      <c r="C162" s="22">
        <v>46251</v>
      </c>
      <c r="D162" s="19">
        <v>875107694214</v>
      </c>
      <c r="E162" s="37">
        <v>43160</v>
      </c>
      <c r="F162" t="s">
        <v>40</v>
      </c>
      <c r="G162">
        <v>8.5</v>
      </c>
      <c r="H162">
        <v>55</v>
      </c>
      <c r="I162">
        <v>30</v>
      </c>
      <c r="J162">
        <v>29</v>
      </c>
      <c r="K162">
        <v>8.5</v>
      </c>
      <c r="L162" t="s">
        <v>19</v>
      </c>
      <c r="M162">
        <v>3184.4</v>
      </c>
      <c r="N162">
        <v>561</v>
      </c>
      <c r="O162" s="8">
        <v>180</v>
      </c>
      <c r="P162">
        <v>1648</v>
      </c>
      <c r="Q162" s="5">
        <f t="shared" si="7"/>
        <v>0.41982982625974424</v>
      </c>
      <c r="R162" s="26">
        <f t="shared" si="8"/>
        <v>5573.4</v>
      </c>
      <c r="S162" s="27">
        <f t="shared" si="9"/>
        <v>6576.6119999999992</v>
      </c>
    </row>
    <row r="163" spans="1:19" x14ac:dyDescent="0.3">
      <c r="A163">
        <v>200010076</v>
      </c>
      <c r="B163" s="18">
        <v>273723367</v>
      </c>
      <c r="C163" s="22">
        <v>46251</v>
      </c>
      <c r="D163" s="19">
        <v>875107699320</v>
      </c>
      <c r="E163" s="37">
        <v>43181</v>
      </c>
      <c r="F163" t="s">
        <v>40</v>
      </c>
      <c r="G163">
        <v>4</v>
      </c>
      <c r="H163">
        <v>55</v>
      </c>
      <c r="I163">
        <v>20</v>
      </c>
      <c r="J163">
        <v>19</v>
      </c>
      <c r="K163">
        <v>4</v>
      </c>
      <c r="L163" t="s">
        <v>19</v>
      </c>
      <c r="M163">
        <v>1966.1</v>
      </c>
      <c r="N163">
        <v>264</v>
      </c>
      <c r="O163" s="8">
        <v>180</v>
      </c>
      <c r="P163" s="8">
        <v>981.2</v>
      </c>
      <c r="Q163" s="5">
        <f t="shared" si="7"/>
        <v>0.40712003651300777</v>
      </c>
      <c r="R163" s="26">
        <f t="shared" si="8"/>
        <v>3391.3</v>
      </c>
      <c r="S163" s="27">
        <f t="shared" si="9"/>
        <v>4001.7339999999999</v>
      </c>
    </row>
    <row r="164" spans="1:19" x14ac:dyDescent="0.3">
      <c r="A164">
        <v>200010076</v>
      </c>
      <c r="B164" s="18">
        <v>273723367</v>
      </c>
      <c r="C164" s="22">
        <v>46251</v>
      </c>
      <c r="D164" s="19">
        <v>875107703852</v>
      </c>
      <c r="E164" s="37">
        <v>4099921993</v>
      </c>
      <c r="F164" t="s">
        <v>40</v>
      </c>
      <c r="G164">
        <v>3.5</v>
      </c>
      <c r="H164">
        <v>45</v>
      </c>
      <c r="I164">
        <v>22</v>
      </c>
      <c r="J164">
        <v>20</v>
      </c>
      <c r="K164">
        <v>3.5</v>
      </c>
      <c r="L164" t="s">
        <v>19</v>
      </c>
      <c r="M164">
        <v>1833.3</v>
      </c>
      <c r="N164">
        <v>231</v>
      </c>
      <c r="O164" s="8">
        <v>180</v>
      </c>
      <c r="P164" s="8">
        <v>908.3</v>
      </c>
      <c r="Q164" s="5">
        <f t="shared" si="7"/>
        <v>0.40471416477298039</v>
      </c>
      <c r="R164" s="26">
        <f t="shared" si="8"/>
        <v>3152.6000000000004</v>
      </c>
      <c r="S164" s="27">
        <f t="shared" si="9"/>
        <v>3720.0680000000002</v>
      </c>
    </row>
    <row r="165" spans="1:19" x14ac:dyDescent="0.3">
      <c r="A165">
        <v>200010076</v>
      </c>
      <c r="B165" s="18">
        <v>273723367</v>
      </c>
      <c r="C165" s="22">
        <v>46251</v>
      </c>
      <c r="D165" s="19">
        <v>875107706211</v>
      </c>
      <c r="E165" s="37">
        <v>43209</v>
      </c>
      <c r="F165" t="s">
        <v>40</v>
      </c>
      <c r="G165">
        <v>5.5</v>
      </c>
      <c r="H165">
        <v>64</v>
      </c>
      <c r="I165">
        <v>22</v>
      </c>
      <c r="J165">
        <v>22</v>
      </c>
      <c r="K165">
        <v>5.5</v>
      </c>
      <c r="L165" t="s">
        <v>19</v>
      </c>
      <c r="M165">
        <v>2494</v>
      </c>
      <c r="N165">
        <v>363</v>
      </c>
      <c r="O165" s="8">
        <v>180</v>
      </c>
      <c r="P165" s="8">
        <v>1257.0999999999999</v>
      </c>
      <c r="Q165" s="5">
        <f t="shared" si="7"/>
        <v>0.41392821863681262</v>
      </c>
      <c r="R165" s="26">
        <f t="shared" si="8"/>
        <v>4294.1000000000004</v>
      </c>
      <c r="S165" s="27">
        <f t="shared" si="9"/>
        <v>5067.0380000000005</v>
      </c>
    </row>
    <row r="166" spans="1:19" x14ac:dyDescent="0.3">
      <c r="A166">
        <v>200010076</v>
      </c>
      <c r="B166" s="18">
        <v>273723367</v>
      </c>
      <c r="C166" s="22">
        <v>46251</v>
      </c>
      <c r="D166" s="19">
        <v>875107711221</v>
      </c>
      <c r="E166" s="37">
        <v>43263</v>
      </c>
      <c r="F166" t="s">
        <v>40</v>
      </c>
      <c r="G166">
        <v>8.5</v>
      </c>
      <c r="H166">
        <v>62</v>
      </c>
      <c r="I166">
        <v>30</v>
      </c>
      <c r="J166">
        <v>26</v>
      </c>
      <c r="K166">
        <v>8.5</v>
      </c>
      <c r="L166" t="s">
        <v>19</v>
      </c>
      <c r="M166">
        <v>3184.4</v>
      </c>
      <c r="N166">
        <v>561</v>
      </c>
      <c r="O166" s="8">
        <v>180</v>
      </c>
      <c r="P166" s="8">
        <v>1648</v>
      </c>
      <c r="Q166" s="5">
        <f t="shared" si="7"/>
        <v>0.41982982625974424</v>
      </c>
      <c r="R166" s="26">
        <f t="shared" si="8"/>
        <v>5573.4</v>
      </c>
      <c r="S166" s="27">
        <f t="shared" si="9"/>
        <v>6576.6119999999992</v>
      </c>
    </row>
    <row r="167" spans="1:19" x14ac:dyDescent="0.3">
      <c r="A167">
        <v>200010076</v>
      </c>
      <c r="B167" s="18">
        <v>273723367</v>
      </c>
      <c r="C167" s="22">
        <v>46251</v>
      </c>
      <c r="D167" s="19">
        <v>875107714757</v>
      </c>
      <c r="E167" s="37">
        <v>43311</v>
      </c>
      <c r="F167" t="s">
        <v>40</v>
      </c>
      <c r="G167">
        <v>9</v>
      </c>
      <c r="H167">
        <v>57</v>
      </c>
      <c r="I167">
        <v>30</v>
      </c>
      <c r="J167">
        <v>29</v>
      </c>
      <c r="K167">
        <v>9</v>
      </c>
      <c r="L167" t="s">
        <v>19</v>
      </c>
      <c r="M167">
        <v>3299.4</v>
      </c>
      <c r="N167">
        <v>594</v>
      </c>
      <c r="O167" s="8">
        <v>180</v>
      </c>
      <c r="P167" s="8">
        <v>1713.1</v>
      </c>
      <c r="Q167" s="5">
        <f t="shared" si="7"/>
        <v>0.42055776501202924</v>
      </c>
      <c r="R167" s="26">
        <f t="shared" si="8"/>
        <v>5786.5</v>
      </c>
      <c r="S167" s="27">
        <f t="shared" si="9"/>
        <v>6828.07</v>
      </c>
    </row>
    <row r="168" spans="1:19" x14ac:dyDescent="0.3">
      <c r="A168">
        <v>200010076</v>
      </c>
      <c r="B168" s="18">
        <v>273723367</v>
      </c>
      <c r="C168" s="22">
        <v>46251</v>
      </c>
      <c r="D168" s="19">
        <v>875107717962</v>
      </c>
      <c r="E168" s="37">
        <v>43322</v>
      </c>
      <c r="F168" t="s">
        <v>40</v>
      </c>
      <c r="G168">
        <v>17</v>
      </c>
      <c r="H168">
        <v>102</v>
      </c>
      <c r="I168">
        <v>31</v>
      </c>
      <c r="J168">
        <v>31</v>
      </c>
      <c r="K168">
        <v>17</v>
      </c>
      <c r="L168" t="s">
        <v>19</v>
      </c>
      <c r="M168">
        <v>6794</v>
      </c>
      <c r="N168">
        <v>1122</v>
      </c>
      <c r="O168">
        <v>180</v>
      </c>
      <c r="P168">
        <v>3483</v>
      </c>
      <c r="Q168" s="5">
        <f t="shared" si="7"/>
        <v>0.43021245059288538</v>
      </c>
      <c r="R168" s="26">
        <f t="shared" si="8"/>
        <v>11579</v>
      </c>
      <c r="S168" s="27">
        <f t="shared" si="9"/>
        <v>13663.22</v>
      </c>
    </row>
    <row r="169" spans="1:19" x14ac:dyDescent="0.3">
      <c r="A169">
        <v>200010076</v>
      </c>
      <c r="B169" s="18">
        <v>273723367</v>
      </c>
      <c r="C169" s="22">
        <v>46251</v>
      </c>
      <c r="D169" s="19">
        <v>875107726257</v>
      </c>
      <c r="E169" s="37">
        <v>43370</v>
      </c>
      <c r="F169" t="s">
        <v>40</v>
      </c>
      <c r="G169">
        <v>3</v>
      </c>
      <c r="H169">
        <v>32</v>
      </c>
      <c r="I169">
        <v>26</v>
      </c>
      <c r="J169">
        <v>19</v>
      </c>
      <c r="K169">
        <v>3</v>
      </c>
      <c r="L169" t="s">
        <v>19</v>
      </c>
      <c r="M169">
        <v>1700.6</v>
      </c>
      <c r="N169">
        <v>198</v>
      </c>
      <c r="O169" s="8">
        <v>180</v>
      </c>
      <c r="P169" s="8">
        <v>835.4</v>
      </c>
      <c r="Q169" s="5">
        <f t="shared" si="7"/>
        <v>0.40190512845184262</v>
      </c>
      <c r="R169" s="26">
        <f t="shared" si="8"/>
        <v>2914</v>
      </c>
      <c r="S169" s="27">
        <f t="shared" si="9"/>
        <v>3438.52</v>
      </c>
    </row>
    <row r="170" spans="1:19" x14ac:dyDescent="0.3">
      <c r="A170">
        <v>200010076</v>
      </c>
      <c r="B170" s="18">
        <v>273723367</v>
      </c>
      <c r="C170" s="22">
        <v>46251</v>
      </c>
      <c r="D170" s="19">
        <v>875107729392</v>
      </c>
      <c r="E170" s="37">
        <v>43377</v>
      </c>
      <c r="F170" t="s">
        <v>40</v>
      </c>
      <c r="G170">
        <v>5.5</v>
      </c>
      <c r="H170">
        <v>60</v>
      </c>
      <c r="I170">
        <v>23</v>
      </c>
      <c r="J170">
        <v>22</v>
      </c>
      <c r="K170">
        <v>5.5</v>
      </c>
      <c r="L170" t="s">
        <v>19</v>
      </c>
      <c r="M170">
        <v>2494</v>
      </c>
      <c r="N170">
        <v>363</v>
      </c>
      <c r="O170" s="8">
        <v>180</v>
      </c>
      <c r="P170" s="8">
        <v>1257.0999999999999</v>
      </c>
      <c r="Q170" s="5">
        <f t="shared" si="7"/>
        <v>0.41392821863681262</v>
      </c>
      <c r="R170" s="26">
        <f t="shared" si="8"/>
        <v>4294.1000000000004</v>
      </c>
      <c r="S170" s="27">
        <f t="shared" si="9"/>
        <v>5067.0380000000005</v>
      </c>
    </row>
    <row r="171" spans="1:19" x14ac:dyDescent="0.3">
      <c r="A171">
        <v>200010076</v>
      </c>
      <c r="B171" s="18">
        <v>273723367</v>
      </c>
      <c r="C171" s="22">
        <v>46251</v>
      </c>
      <c r="D171" s="19">
        <v>875107729841</v>
      </c>
      <c r="E171" s="37">
        <v>7871807</v>
      </c>
      <c r="F171" t="s">
        <v>40</v>
      </c>
      <c r="G171">
        <v>5.5</v>
      </c>
      <c r="H171">
        <v>41</v>
      </c>
      <c r="I171">
        <v>35</v>
      </c>
      <c r="J171">
        <v>20</v>
      </c>
      <c r="K171">
        <v>5.5</v>
      </c>
      <c r="L171" t="s">
        <v>19</v>
      </c>
      <c r="M171">
        <v>2494</v>
      </c>
      <c r="N171">
        <v>363</v>
      </c>
      <c r="O171" s="8">
        <v>180</v>
      </c>
      <c r="P171">
        <v>1257.0999999999999</v>
      </c>
      <c r="Q171" s="5">
        <f t="shared" si="7"/>
        <v>0.41392821863681262</v>
      </c>
      <c r="R171" s="26">
        <f t="shared" si="8"/>
        <v>4294.1000000000004</v>
      </c>
      <c r="S171" s="27">
        <f t="shared" si="9"/>
        <v>5067.0380000000005</v>
      </c>
    </row>
    <row r="172" spans="1:19" x14ac:dyDescent="0.3">
      <c r="A172">
        <v>200010076</v>
      </c>
      <c r="B172" s="18">
        <v>273723367</v>
      </c>
      <c r="C172" s="22">
        <v>46251</v>
      </c>
      <c r="D172" s="19">
        <v>875107740240</v>
      </c>
      <c r="E172" s="37">
        <v>43444</v>
      </c>
      <c r="F172" t="s">
        <v>40</v>
      </c>
      <c r="G172">
        <v>3.5</v>
      </c>
      <c r="H172">
        <v>44</v>
      </c>
      <c r="I172">
        <v>22</v>
      </c>
      <c r="J172">
        <v>20</v>
      </c>
      <c r="K172">
        <v>3.5</v>
      </c>
      <c r="L172" t="s">
        <v>19</v>
      </c>
      <c r="M172">
        <v>1833.3</v>
      </c>
      <c r="N172">
        <v>231</v>
      </c>
      <c r="O172" s="8">
        <v>180</v>
      </c>
      <c r="P172">
        <v>908.3</v>
      </c>
      <c r="Q172" s="5">
        <f t="shared" si="7"/>
        <v>0.40471416477298039</v>
      </c>
      <c r="R172" s="26">
        <f t="shared" si="8"/>
        <v>3152.6000000000004</v>
      </c>
      <c r="S172" s="27">
        <f t="shared" si="9"/>
        <v>3720.0680000000002</v>
      </c>
    </row>
    <row r="173" spans="1:19" x14ac:dyDescent="0.3">
      <c r="A173">
        <v>200010076</v>
      </c>
      <c r="B173" s="18">
        <v>273723367</v>
      </c>
      <c r="C173" s="22">
        <v>46251</v>
      </c>
      <c r="D173" s="19">
        <v>875107743709</v>
      </c>
      <c r="E173" s="37">
        <v>43451</v>
      </c>
      <c r="F173" t="s">
        <v>40</v>
      </c>
      <c r="G173">
        <v>2.5</v>
      </c>
      <c r="H173">
        <v>51</v>
      </c>
      <c r="I173">
        <v>17</v>
      </c>
      <c r="J173">
        <v>16</v>
      </c>
      <c r="K173">
        <v>2.5</v>
      </c>
      <c r="L173" t="s">
        <v>19</v>
      </c>
      <c r="M173">
        <v>1671.3</v>
      </c>
      <c r="N173">
        <v>165</v>
      </c>
      <c r="O173" s="8">
        <v>180</v>
      </c>
      <c r="P173" s="8">
        <v>808</v>
      </c>
      <c r="Q173" s="5">
        <f t="shared" si="7"/>
        <v>0.40073401775529438</v>
      </c>
      <c r="R173" s="26">
        <f t="shared" si="8"/>
        <v>2824.3</v>
      </c>
      <c r="S173" s="27">
        <f t="shared" si="9"/>
        <v>3332.674</v>
      </c>
    </row>
    <row r="174" spans="1:19" x14ac:dyDescent="0.3">
      <c r="A174">
        <v>200010076</v>
      </c>
      <c r="B174" s="18">
        <v>273723367</v>
      </c>
      <c r="C174" s="22">
        <v>46251</v>
      </c>
      <c r="D174" s="19">
        <v>875107748468</v>
      </c>
      <c r="E174" s="37">
        <v>43464</v>
      </c>
      <c r="F174" t="s">
        <v>40</v>
      </c>
      <c r="G174">
        <v>3</v>
      </c>
      <c r="H174">
        <v>44</v>
      </c>
      <c r="I174">
        <v>20</v>
      </c>
      <c r="J174">
        <v>19</v>
      </c>
      <c r="K174">
        <v>3</v>
      </c>
      <c r="L174" t="s">
        <v>19</v>
      </c>
      <c r="M174">
        <v>1700.6</v>
      </c>
      <c r="N174">
        <v>198</v>
      </c>
      <c r="O174" s="8">
        <v>180</v>
      </c>
      <c r="P174" s="8">
        <v>835.4</v>
      </c>
      <c r="Q174" s="5">
        <f t="shared" si="7"/>
        <v>0.40190512845184262</v>
      </c>
      <c r="R174" s="26">
        <f t="shared" si="8"/>
        <v>2914</v>
      </c>
      <c r="S174" s="27">
        <f t="shared" si="9"/>
        <v>3438.52</v>
      </c>
    </row>
    <row r="175" spans="1:19" x14ac:dyDescent="0.3">
      <c r="A175">
        <v>200010076</v>
      </c>
      <c r="B175" s="18">
        <v>273723367</v>
      </c>
      <c r="C175" s="22">
        <v>46251</v>
      </c>
      <c r="D175" s="19">
        <v>875107752324</v>
      </c>
      <c r="E175" s="37">
        <v>43483</v>
      </c>
      <c r="F175" t="s">
        <v>40</v>
      </c>
      <c r="G175">
        <v>4.5</v>
      </c>
      <c r="H175">
        <v>33</v>
      </c>
      <c r="I175">
        <v>33</v>
      </c>
      <c r="J175">
        <v>23</v>
      </c>
      <c r="K175">
        <v>4.5</v>
      </c>
      <c r="L175" t="s">
        <v>19</v>
      </c>
      <c r="M175">
        <v>2098.9</v>
      </c>
      <c r="N175">
        <v>297</v>
      </c>
      <c r="O175" s="8">
        <v>180</v>
      </c>
      <c r="P175">
        <v>1054.2</v>
      </c>
      <c r="Q175" s="5">
        <f t="shared" si="7"/>
        <v>0.40925501766372918</v>
      </c>
      <c r="R175" s="26">
        <f t="shared" si="8"/>
        <v>3630.1000000000004</v>
      </c>
      <c r="S175" s="27">
        <f t="shared" si="9"/>
        <v>4283.518</v>
      </c>
    </row>
    <row r="176" spans="1:19" x14ac:dyDescent="0.3">
      <c r="A176">
        <v>200010076</v>
      </c>
      <c r="B176" s="18">
        <v>273723367</v>
      </c>
      <c r="C176" s="22">
        <v>46251</v>
      </c>
      <c r="D176" s="19">
        <v>875106723480</v>
      </c>
      <c r="E176" s="37">
        <v>43740</v>
      </c>
      <c r="F176" t="s">
        <v>40</v>
      </c>
      <c r="G176">
        <v>0.5</v>
      </c>
      <c r="K176">
        <v>0.5</v>
      </c>
      <c r="L176" t="s">
        <v>19</v>
      </c>
      <c r="M176">
        <v>1031.7</v>
      </c>
      <c r="N176">
        <v>42.5</v>
      </c>
      <c r="O176" s="8">
        <v>0</v>
      </c>
      <c r="P176">
        <v>472.7</v>
      </c>
      <c r="Q176" s="5">
        <f t="shared" si="7"/>
        <v>0.44004840811766893</v>
      </c>
      <c r="R176" s="26">
        <f t="shared" si="8"/>
        <v>1546.9</v>
      </c>
      <c r="S176" s="27">
        <f t="shared" si="9"/>
        <v>1825.3420000000001</v>
      </c>
    </row>
    <row r="177" spans="1:19" x14ac:dyDescent="0.3">
      <c r="A177">
        <v>200010076</v>
      </c>
      <c r="B177" s="18">
        <v>273723367</v>
      </c>
      <c r="C177" s="22">
        <v>46251</v>
      </c>
      <c r="D177" s="19">
        <v>875107737026</v>
      </c>
      <c r="E177" s="37">
        <v>43387</v>
      </c>
      <c r="F177" t="s">
        <v>40</v>
      </c>
      <c r="G177">
        <v>0.5</v>
      </c>
      <c r="K177">
        <v>0.5</v>
      </c>
      <c r="L177" t="s">
        <v>19</v>
      </c>
      <c r="M177">
        <v>1031.7</v>
      </c>
      <c r="N177">
        <v>42.5</v>
      </c>
      <c r="O177" s="8">
        <v>0</v>
      </c>
      <c r="P177" s="8">
        <v>472.7</v>
      </c>
      <c r="Q177" s="5">
        <f t="shared" si="7"/>
        <v>0.44004840811766893</v>
      </c>
      <c r="R177" s="26">
        <f t="shared" si="8"/>
        <v>1546.9</v>
      </c>
      <c r="S177" s="27">
        <f t="shared" si="9"/>
        <v>1825.3420000000001</v>
      </c>
    </row>
    <row r="178" spans="1:19" x14ac:dyDescent="0.3">
      <c r="A178">
        <v>200010076</v>
      </c>
      <c r="B178" s="18">
        <v>273723367</v>
      </c>
      <c r="C178" s="22">
        <v>46251</v>
      </c>
      <c r="D178" s="19">
        <v>875107756580</v>
      </c>
      <c r="E178" s="37">
        <v>43485</v>
      </c>
      <c r="F178" t="s">
        <v>40</v>
      </c>
      <c r="G178">
        <v>0.5</v>
      </c>
      <c r="K178">
        <v>0.5</v>
      </c>
      <c r="L178" t="s">
        <v>19</v>
      </c>
      <c r="M178">
        <v>1031.7</v>
      </c>
      <c r="N178">
        <v>42.5</v>
      </c>
      <c r="O178" s="8">
        <v>0</v>
      </c>
      <c r="P178">
        <v>472.7</v>
      </c>
      <c r="Q178" s="5">
        <f t="shared" si="7"/>
        <v>0.44004840811766893</v>
      </c>
      <c r="R178" s="26">
        <f t="shared" si="8"/>
        <v>1546.9</v>
      </c>
      <c r="S178" s="27">
        <f t="shared" si="9"/>
        <v>1825.3420000000001</v>
      </c>
    </row>
    <row r="179" spans="1:19" x14ac:dyDescent="0.3">
      <c r="A179">
        <v>200010076</v>
      </c>
      <c r="B179" s="18">
        <v>273723367</v>
      </c>
      <c r="C179" s="22">
        <v>46251</v>
      </c>
      <c r="D179" s="19">
        <v>875107764410</v>
      </c>
      <c r="E179" s="37">
        <v>7871830</v>
      </c>
      <c r="F179" t="s">
        <v>40</v>
      </c>
      <c r="G179">
        <v>0.5</v>
      </c>
      <c r="K179">
        <v>0.5</v>
      </c>
      <c r="L179" t="s">
        <v>19</v>
      </c>
      <c r="M179">
        <v>1031.7</v>
      </c>
      <c r="N179">
        <v>42.5</v>
      </c>
      <c r="O179" s="8">
        <v>0</v>
      </c>
      <c r="P179">
        <v>472.7</v>
      </c>
      <c r="Q179" s="5">
        <f t="shared" si="7"/>
        <v>0.44004840811766893</v>
      </c>
      <c r="R179" s="26">
        <f t="shared" si="8"/>
        <v>1546.9</v>
      </c>
      <c r="S179" s="27">
        <f t="shared" si="9"/>
        <v>1825.3420000000001</v>
      </c>
    </row>
    <row r="180" spans="1:19" x14ac:dyDescent="0.3">
      <c r="A180">
        <v>200010076</v>
      </c>
      <c r="B180" s="18">
        <v>273723367</v>
      </c>
      <c r="C180" s="22">
        <v>46251</v>
      </c>
      <c r="D180" s="19">
        <v>875107766044</v>
      </c>
      <c r="E180" s="37">
        <v>43601</v>
      </c>
      <c r="F180" t="s">
        <v>40</v>
      </c>
      <c r="G180">
        <v>0.5</v>
      </c>
      <c r="K180">
        <v>0.5</v>
      </c>
      <c r="L180" t="s">
        <v>19</v>
      </c>
      <c r="M180">
        <v>1031.7</v>
      </c>
      <c r="N180">
        <v>42.5</v>
      </c>
      <c r="O180" s="8">
        <v>0</v>
      </c>
      <c r="P180">
        <v>472.7</v>
      </c>
      <c r="Q180" s="5">
        <f t="shared" si="7"/>
        <v>0.44004840811766893</v>
      </c>
      <c r="R180" s="26">
        <f t="shared" si="8"/>
        <v>1546.9</v>
      </c>
      <c r="S180" s="27">
        <f t="shared" si="9"/>
        <v>1825.3420000000001</v>
      </c>
    </row>
    <row r="181" spans="1:19" x14ac:dyDescent="0.3">
      <c r="A181">
        <v>200010076</v>
      </c>
      <c r="B181" s="18">
        <v>273723367</v>
      </c>
      <c r="C181" s="22">
        <v>46251</v>
      </c>
      <c r="D181" s="19">
        <v>875107771570</v>
      </c>
      <c r="E181" s="37">
        <v>43623</v>
      </c>
      <c r="F181" t="s">
        <v>40</v>
      </c>
      <c r="G181">
        <v>0.5</v>
      </c>
      <c r="K181">
        <v>0.5</v>
      </c>
      <c r="L181" t="s">
        <v>19</v>
      </c>
      <c r="M181">
        <v>1031.7</v>
      </c>
      <c r="N181">
        <v>42.5</v>
      </c>
      <c r="O181" s="8">
        <v>0</v>
      </c>
      <c r="P181" s="8">
        <v>472.7</v>
      </c>
      <c r="Q181" s="5">
        <f t="shared" si="7"/>
        <v>0.44004840811766893</v>
      </c>
      <c r="R181" s="26">
        <f t="shared" si="8"/>
        <v>1546.9</v>
      </c>
      <c r="S181" s="27">
        <f t="shared" si="9"/>
        <v>1825.3420000000001</v>
      </c>
    </row>
    <row r="182" spans="1:19" x14ac:dyDescent="0.3">
      <c r="A182">
        <v>200010076</v>
      </c>
      <c r="B182" s="18">
        <v>273723367</v>
      </c>
      <c r="C182" s="22">
        <v>46251</v>
      </c>
      <c r="D182" s="19">
        <v>875107775005</v>
      </c>
      <c r="E182" s="37">
        <v>43625</v>
      </c>
      <c r="F182" t="s">
        <v>40</v>
      </c>
      <c r="G182">
        <v>0.5</v>
      </c>
      <c r="K182">
        <v>0.5</v>
      </c>
      <c r="L182" t="s">
        <v>19</v>
      </c>
      <c r="M182">
        <v>1031.7</v>
      </c>
      <c r="N182">
        <v>42.5</v>
      </c>
      <c r="O182" s="8">
        <v>0</v>
      </c>
      <c r="P182">
        <v>472.7</v>
      </c>
      <c r="Q182" s="5">
        <f t="shared" si="7"/>
        <v>0.44004840811766893</v>
      </c>
      <c r="R182" s="26">
        <f t="shared" si="8"/>
        <v>1546.9</v>
      </c>
      <c r="S182" s="27">
        <f t="shared" si="9"/>
        <v>1825.3420000000001</v>
      </c>
    </row>
    <row r="183" spans="1:19" x14ac:dyDescent="0.3">
      <c r="A183">
        <v>200010076</v>
      </c>
      <c r="B183" s="18">
        <v>273723367</v>
      </c>
      <c r="C183" s="22">
        <v>46251</v>
      </c>
      <c r="D183" s="19">
        <v>875107778585</v>
      </c>
      <c r="E183" s="37">
        <v>43590</v>
      </c>
      <c r="F183" t="s">
        <v>40</v>
      </c>
      <c r="G183">
        <v>0.5</v>
      </c>
      <c r="K183">
        <v>0.5</v>
      </c>
      <c r="L183" t="s">
        <v>19</v>
      </c>
      <c r="M183">
        <v>1031.7</v>
      </c>
      <c r="N183">
        <v>42.5</v>
      </c>
      <c r="O183" s="8">
        <v>900</v>
      </c>
      <c r="P183" s="8">
        <v>868.7</v>
      </c>
      <c r="Q183" s="5">
        <f t="shared" si="7"/>
        <v>0.44002633978320332</v>
      </c>
      <c r="R183" s="26">
        <f t="shared" si="8"/>
        <v>2842.9</v>
      </c>
      <c r="S183" s="27">
        <f t="shared" si="9"/>
        <v>3354.6219999999998</v>
      </c>
    </row>
    <row r="184" spans="1:19" x14ac:dyDescent="0.3">
      <c r="A184">
        <v>200010076</v>
      </c>
      <c r="B184" s="18">
        <v>273723367</v>
      </c>
      <c r="C184" s="22">
        <v>46251</v>
      </c>
      <c r="D184" s="19">
        <v>875107784216</v>
      </c>
      <c r="E184" s="37">
        <v>43550</v>
      </c>
      <c r="F184" t="s">
        <v>40</v>
      </c>
      <c r="G184">
        <v>0.5</v>
      </c>
      <c r="K184">
        <v>0.5</v>
      </c>
      <c r="L184" t="s">
        <v>19</v>
      </c>
      <c r="M184">
        <v>1031.7</v>
      </c>
      <c r="N184">
        <v>42.5</v>
      </c>
      <c r="O184" s="8">
        <v>0</v>
      </c>
      <c r="P184">
        <v>472.7</v>
      </c>
      <c r="Q184" s="5">
        <f t="shared" si="7"/>
        <v>0.44004840811766893</v>
      </c>
      <c r="R184" s="26">
        <f t="shared" si="8"/>
        <v>1546.9</v>
      </c>
      <c r="S184" s="27">
        <f t="shared" si="9"/>
        <v>1825.3420000000001</v>
      </c>
    </row>
    <row r="185" spans="1:19" x14ac:dyDescent="0.3">
      <c r="A185">
        <v>200010076</v>
      </c>
      <c r="B185" s="18">
        <v>273723367</v>
      </c>
      <c r="C185" s="22">
        <v>46251</v>
      </c>
      <c r="D185" s="19">
        <v>875107787498</v>
      </c>
      <c r="E185" s="37">
        <v>43646</v>
      </c>
      <c r="F185" t="s">
        <v>40</v>
      </c>
      <c r="G185">
        <v>0.5</v>
      </c>
      <c r="K185">
        <v>0.5</v>
      </c>
      <c r="L185" t="s">
        <v>19</v>
      </c>
      <c r="M185">
        <v>1031.7</v>
      </c>
      <c r="N185">
        <v>42.5</v>
      </c>
      <c r="O185" s="8">
        <v>0</v>
      </c>
      <c r="P185">
        <v>472.7</v>
      </c>
      <c r="Q185" s="5">
        <f t="shared" si="7"/>
        <v>0.44004840811766893</v>
      </c>
      <c r="R185" s="26">
        <f t="shared" si="8"/>
        <v>1546.9</v>
      </c>
      <c r="S185" s="27">
        <f t="shared" si="9"/>
        <v>1825.3420000000001</v>
      </c>
    </row>
    <row r="186" spans="1:19" x14ac:dyDescent="0.3">
      <c r="A186">
        <v>200010076</v>
      </c>
      <c r="B186" s="18">
        <v>273723367</v>
      </c>
      <c r="C186" s="22">
        <v>46251</v>
      </c>
      <c r="D186" s="19">
        <v>875107791571</v>
      </c>
      <c r="E186" s="37">
        <v>43647</v>
      </c>
      <c r="F186" t="s">
        <v>40</v>
      </c>
      <c r="G186">
        <v>0.5</v>
      </c>
      <c r="K186">
        <v>0.5</v>
      </c>
      <c r="L186" t="s">
        <v>19</v>
      </c>
      <c r="M186">
        <v>1031.7</v>
      </c>
      <c r="N186">
        <v>42.5</v>
      </c>
      <c r="O186" s="8">
        <v>0</v>
      </c>
      <c r="P186" s="8">
        <v>472.7</v>
      </c>
      <c r="Q186" s="5">
        <f t="shared" si="7"/>
        <v>0.44004840811766893</v>
      </c>
      <c r="R186" s="26">
        <f t="shared" si="8"/>
        <v>1546.9</v>
      </c>
      <c r="S186" s="27">
        <f t="shared" si="9"/>
        <v>1825.3420000000001</v>
      </c>
    </row>
    <row r="187" spans="1:19" x14ac:dyDescent="0.3">
      <c r="A187">
        <v>200010076</v>
      </c>
      <c r="B187" s="18">
        <v>273723367</v>
      </c>
      <c r="C187" s="22">
        <v>46251</v>
      </c>
      <c r="D187" s="19">
        <v>875107796036</v>
      </c>
      <c r="E187" s="37">
        <v>43722</v>
      </c>
      <c r="F187" t="s">
        <v>40</v>
      </c>
      <c r="G187">
        <v>0.5</v>
      </c>
      <c r="K187">
        <v>0.5</v>
      </c>
      <c r="L187" t="s">
        <v>19</v>
      </c>
      <c r="M187">
        <v>1031.7</v>
      </c>
      <c r="N187">
        <v>42.5</v>
      </c>
      <c r="O187" s="8">
        <v>0</v>
      </c>
      <c r="P187" s="8">
        <v>472.7</v>
      </c>
      <c r="Q187" s="5">
        <f t="shared" si="7"/>
        <v>0.44004840811766893</v>
      </c>
      <c r="R187" s="26">
        <f t="shared" si="8"/>
        <v>1546.9</v>
      </c>
      <c r="S187" s="27">
        <f t="shared" si="9"/>
        <v>1825.3420000000001</v>
      </c>
    </row>
    <row r="188" spans="1:19" x14ac:dyDescent="0.3">
      <c r="A188">
        <v>200010076</v>
      </c>
      <c r="B188" s="18">
        <v>273723367</v>
      </c>
      <c r="C188" s="22">
        <v>46251</v>
      </c>
      <c r="D188" s="19">
        <v>875107803627</v>
      </c>
      <c r="E188" s="37">
        <v>43723</v>
      </c>
      <c r="F188" t="s">
        <v>40</v>
      </c>
      <c r="G188">
        <v>0.5</v>
      </c>
      <c r="K188">
        <v>0.5</v>
      </c>
      <c r="L188" t="s">
        <v>19</v>
      </c>
      <c r="M188">
        <v>1031.7</v>
      </c>
      <c r="N188">
        <v>42.5</v>
      </c>
      <c r="O188" s="8">
        <v>0</v>
      </c>
      <c r="P188" s="8">
        <v>472.7</v>
      </c>
      <c r="Q188" s="5">
        <f t="shared" si="7"/>
        <v>0.44004840811766893</v>
      </c>
      <c r="R188" s="26">
        <f t="shared" si="8"/>
        <v>1546.9</v>
      </c>
      <c r="S188" s="27">
        <f t="shared" si="9"/>
        <v>1825.3420000000001</v>
      </c>
    </row>
    <row r="189" spans="1:19" x14ac:dyDescent="0.3">
      <c r="A189">
        <v>200010076</v>
      </c>
      <c r="B189" s="18">
        <v>273723367</v>
      </c>
      <c r="C189" s="22">
        <v>46251</v>
      </c>
      <c r="D189" s="19">
        <v>875107808217</v>
      </c>
      <c r="E189" s="37">
        <v>43743</v>
      </c>
      <c r="F189" t="s">
        <v>40</v>
      </c>
      <c r="G189">
        <v>0.5</v>
      </c>
      <c r="K189">
        <v>0.5</v>
      </c>
      <c r="L189" t="s">
        <v>19</v>
      </c>
      <c r="M189">
        <v>1031.7</v>
      </c>
      <c r="N189">
        <v>42.5</v>
      </c>
      <c r="O189" s="8">
        <v>0</v>
      </c>
      <c r="P189" s="8">
        <v>472.7</v>
      </c>
      <c r="Q189" s="5">
        <f t="shared" si="7"/>
        <v>0.44004840811766893</v>
      </c>
      <c r="R189" s="26">
        <f t="shared" si="8"/>
        <v>1546.9</v>
      </c>
      <c r="S189" s="27">
        <f t="shared" si="9"/>
        <v>1825.3420000000001</v>
      </c>
    </row>
    <row r="190" spans="1:19" x14ac:dyDescent="0.3">
      <c r="A190">
        <v>200010076</v>
      </c>
      <c r="B190" s="18">
        <v>273723367</v>
      </c>
      <c r="C190" s="22">
        <v>46251</v>
      </c>
      <c r="D190" s="19">
        <v>875107810088</v>
      </c>
      <c r="E190" s="37">
        <v>43754</v>
      </c>
      <c r="F190" t="s">
        <v>40</v>
      </c>
      <c r="G190">
        <v>0.5</v>
      </c>
      <c r="K190">
        <v>0.5</v>
      </c>
      <c r="L190" t="s">
        <v>19</v>
      </c>
      <c r="M190">
        <v>1031.7</v>
      </c>
      <c r="N190">
        <v>42.5</v>
      </c>
      <c r="O190" s="8">
        <v>0</v>
      </c>
      <c r="P190" s="8">
        <v>472.7</v>
      </c>
      <c r="Q190" s="5">
        <f t="shared" si="7"/>
        <v>0.44004840811766893</v>
      </c>
      <c r="R190" s="26">
        <f t="shared" si="8"/>
        <v>1546.9</v>
      </c>
      <c r="S190" s="27">
        <f t="shared" si="9"/>
        <v>1825.3420000000001</v>
      </c>
    </row>
    <row r="191" spans="1:19" x14ac:dyDescent="0.3">
      <c r="A191">
        <v>200010076</v>
      </c>
      <c r="B191" s="18">
        <v>273723367</v>
      </c>
      <c r="C191" s="22">
        <v>46251</v>
      </c>
      <c r="D191" s="19">
        <v>875107814624</v>
      </c>
      <c r="E191" s="37">
        <v>43763</v>
      </c>
      <c r="F191" t="s">
        <v>40</v>
      </c>
      <c r="G191">
        <v>0.5</v>
      </c>
      <c r="K191">
        <v>0.5</v>
      </c>
      <c r="L191" t="s">
        <v>19</v>
      </c>
      <c r="M191">
        <v>1031.7</v>
      </c>
      <c r="N191">
        <v>42.5</v>
      </c>
      <c r="O191" s="8">
        <v>0</v>
      </c>
      <c r="P191">
        <v>472.7</v>
      </c>
      <c r="Q191" s="5">
        <f t="shared" si="7"/>
        <v>0.44004840811766893</v>
      </c>
      <c r="R191" s="26">
        <f t="shared" si="8"/>
        <v>1546.9</v>
      </c>
      <c r="S191" s="27">
        <f t="shared" si="9"/>
        <v>1825.3420000000001</v>
      </c>
    </row>
    <row r="192" spans="1:19" x14ac:dyDescent="0.3">
      <c r="A192">
        <v>200010076</v>
      </c>
      <c r="B192" s="18">
        <v>273723367</v>
      </c>
      <c r="C192" s="22">
        <v>46251</v>
      </c>
      <c r="D192" s="19">
        <v>875107819659</v>
      </c>
      <c r="E192" s="37">
        <v>43768</v>
      </c>
      <c r="F192" t="s">
        <v>40</v>
      </c>
      <c r="G192">
        <v>0.5</v>
      </c>
      <c r="K192">
        <v>0.5</v>
      </c>
      <c r="L192" t="s">
        <v>19</v>
      </c>
      <c r="M192">
        <v>1031.7</v>
      </c>
      <c r="N192">
        <v>42.5</v>
      </c>
      <c r="O192" s="8">
        <v>0</v>
      </c>
      <c r="P192" s="8">
        <v>472.7</v>
      </c>
      <c r="Q192" s="5">
        <f t="shared" si="7"/>
        <v>0.44004840811766893</v>
      </c>
      <c r="R192" s="26">
        <f t="shared" si="8"/>
        <v>1546.9</v>
      </c>
      <c r="S192" s="27">
        <f t="shared" si="9"/>
        <v>1825.3420000000001</v>
      </c>
    </row>
    <row r="193" spans="1:19" x14ac:dyDescent="0.3">
      <c r="A193">
        <v>200010076</v>
      </c>
      <c r="B193" s="18">
        <v>273723367</v>
      </c>
      <c r="C193" s="22">
        <v>46251</v>
      </c>
      <c r="D193" s="19">
        <v>875107828080</v>
      </c>
      <c r="E193" s="37">
        <v>43809</v>
      </c>
      <c r="F193" t="s">
        <v>40</v>
      </c>
      <c r="G193">
        <v>0.5</v>
      </c>
      <c r="K193">
        <v>0.5</v>
      </c>
      <c r="L193" t="s">
        <v>19</v>
      </c>
      <c r="M193">
        <v>1031.7</v>
      </c>
      <c r="N193">
        <v>42.5</v>
      </c>
      <c r="O193" s="8">
        <v>0</v>
      </c>
      <c r="P193">
        <v>472.7</v>
      </c>
      <c r="Q193" s="5">
        <f t="shared" si="7"/>
        <v>0.44004840811766893</v>
      </c>
      <c r="R193" s="26">
        <f t="shared" si="8"/>
        <v>1546.9</v>
      </c>
      <c r="S193" s="27">
        <f t="shared" si="9"/>
        <v>1825.3420000000001</v>
      </c>
    </row>
    <row r="194" spans="1:19" x14ac:dyDescent="0.3">
      <c r="A194">
        <v>200010076</v>
      </c>
      <c r="B194" s="18">
        <v>273723367</v>
      </c>
      <c r="C194" s="22">
        <v>46251</v>
      </c>
      <c r="D194" s="19">
        <v>875107838183</v>
      </c>
      <c r="E194" s="37">
        <v>43821</v>
      </c>
      <c r="F194" t="s">
        <v>40</v>
      </c>
      <c r="G194">
        <v>0.5</v>
      </c>
      <c r="K194">
        <v>0.5</v>
      </c>
      <c r="L194" t="s">
        <v>19</v>
      </c>
      <c r="M194">
        <v>1031.7</v>
      </c>
      <c r="N194">
        <v>42.5</v>
      </c>
      <c r="O194" s="8">
        <v>0</v>
      </c>
      <c r="P194">
        <v>472.7</v>
      </c>
      <c r="Q194" s="5">
        <f t="shared" si="7"/>
        <v>0.44004840811766893</v>
      </c>
      <c r="R194" s="26">
        <f t="shared" si="8"/>
        <v>1546.9</v>
      </c>
      <c r="S194" s="27">
        <f t="shared" si="9"/>
        <v>1825.3420000000001</v>
      </c>
    </row>
    <row r="195" spans="1:19" x14ac:dyDescent="0.3">
      <c r="A195">
        <v>200010076</v>
      </c>
      <c r="B195" s="18">
        <v>273723367</v>
      </c>
      <c r="C195" s="22">
        <v>46251</v>
      </c>
      <c r="D195" s="19">
        <v>875107845152</v>
      </c>
      <c r="E195" s="37">
        <v>43824</v>
      </c>
      <c r="F195" t="s">
        <v>40</v>
      </c>
      <c r="G195">
        <v>0.5</v>
      </c>
      <c r="K195">
        <v>0.5</v>
      </c>
      <c r="L195" t="s">
        <v>19</v>
      </c>
      <c r="M195">
        <v>1031.7</v>
      </c>
      <c r="N195">
        <v>42.5</v>
      </c>
      <c r="O195" s="8">
        <v>0</v>
      </c>
      <c r="P195">
        <v>472.7</v>
      </c>
      <c r="Q195" s="5">
        <f t="shared" si="7"/>
        <v>0.44004840811766893</v>
      </c>
      <c r="R195" s="26">
        <f t="shared" si="8"/>
        <v>1546.9</v>
      </c>
      <c r="S195" s="27">
        <f t="shared" si="9"/>
        <v>1825.3420000000001</v>
      </c>
    </row>
    <row r="196" spans="1:19" x14ac:dyDescent="0.3">
      <c r="A196">
        <v>200010076</v>
      </c>
      <c r="B196" s="18">
        <v>273723367</v>
      </c>
      <c r="C196" s="22">
        <v>46251</v>
      </c>
      <c r="D196" s="19">
        <v>875107849022</v>
      </c>
      <c r="E196" s="37">
        <v>43829</v>
      </c>
      <c r="F196" t="s">
        <v>40</v>
      </c>
      <c r="G196">
        <v>0.5</v>
      </c>
      <c r="K196">
        <v>0.5</v>
      </c>
      <c r="L196" t="s">
        <v>19</v>
      </c>
      <c r="M196">
        <v>1031.7</v>
      </c>
      <c r="N196">
        <v>42.5</v>
      </c>
      <c r="O196" s="8">
        <v>0</v>
      </c>
      <c r="P196">
        <v>472.7</v>
      </c>
      <c r="Q196" s="5">
        <f t="shared" si="7"/>
        <v>0.44004840811766893</v>
      </c>
      <c r="R196" s="26">
        <f t="shared" si="8"/>
        <v>1546.9</v>
      </c>
      <c r="S196" s="27">
        <f t="shared" si="9"/>
        <v>1825.3420000000001</v>
      </c>
    </row>
    <row r="197" spans="1:19" x14ac:dyDescent="0.3">
      <c r="A197">
        <v>200010076</v>
      </c>
      <c r="B197" s="18">
        <v>273723367</v>
      </c>
      <c r="C197" s="22">
        <v>46251</v>
      </c>
      <c r="D197" s="19">
        <v>875160195273</v>
      </c>
      <c r="E197" s="37">
        <v>39252</v>
      </c>
      <c r="F197" t="s">
        <v>41</v>
      </c>
      <c r="G197">
        <v>9</v>
      </c>
      <c r="H197">
        <v>46</v>
      </c>
      <c r="I197">
        <v>34</v>
      </c>
      <c r="J197">
        <v>34</v>
      </c>
      <c r="K197">
        <v>9</v>
      </c>
      <c r="L197" t="s">
        <v>19</v>
      </c>
      <c r="M197">
        <v>3299.4</v>
      </c>
      <c r="N197">
        <v>594</v>
      </c>
      <c r="O197" s="8">
        <v>210</v>
      </c>
      <c r="P197">
        <v>1713.1</v>
      </c>
      <c r="Q197" s="5">
        <f t="shared" ref="Q197:Q260" si="10">+P197/SUM(M197:O197)</f>
        <v>0.41748306282594921</v>
      </c>
      <c r="R197" s="26">
        <f t="shared" ref="R197:R260" si="11">SUM(M197:P197)</f>
        <v>5816.5</v>
      </c>
      <c r="S197" s="27">
        <f t="shared" ref="S197:S260" si="12">+R197*1.18</f>
        <v>6863.4699999999993</v>
      </c>
    </row>
    <row r="198" spans="1:19" x14ac:dyDescent="0.3">
      <c r="A198">
        <v>200010076</v>
      </c>
      <c r="B198" s="18">
        <v>273723367</v>
      </c>
      <c r="C198" s="22">
        <v>46251</v>
      </c>
      <c r="D198" s="19">
        <v>875160201375</v>
      </c>
      <c r="E198" s="37">
        <v>39429</v>
      </c>
      <c r="F198" t="s">
        <v>41</v>
      </c>
      <c r="G198">
        <v>17</v>
      </c>
      <c r="H198">
        <v>133</v>
      </c>
      <c r="I198">
        <v>29</v>
      </c>
      <c r="J198">
        <v>25</v>
      </c>
      <c r="K198">
        <v>18</v>
      </c>
      <c r="L198" t="s">
        <v>19</v>
      </c>
      <c r="M198">
        <v>7135.4</v>
      </c>
      <c r="N198">
        <v>1188</v>
      </c>
      <c r="O198" s="8">
        <v>180</v>
      </c>
      <c r="P198">
        <v>3662.3</v>
      </c>
      <c r="Q198" s="5">
        <f t="shared" si="10"/>
        <v>0.43068654890984787</v>
      </c>
      <c r="R198" s="26">
        <f t="shared" si="11"/>
        <v>12165.7</v>
      </c>
      <c r="S198" s="27">
        <f t="shared" si="12"/>
        <v>14355.526</v>
      </c>
    </row>
    <row r="199" spans="1:19" x14ac:dyDescent="0.3">
      <c r="A199">
        <v>200010076</v>
      </c>
      <c r="B199" s="18">
        <v>273723367</v>
      </c>
      <c r="C199" s="22">
        <v>46251</v>
      </c>
      <c r="D199" s="19">
        <v>875160205750</v>
      </c>
      <c r="E199" s="37">
        <v>39664</v>
      </c>
      <c r="F199" t="s">
        <v>41</v>
      </c>
      <c r="G199">
        <v>12</v>
      </c>
      <c r="H199">
        <v>85</v>
      </c>
      <c r="I199">
        <v>30</v>
      </c>
      <c r="J199">
        <v>28</v>
      </c>
      <c r="K199">
        <v>12</v>
      </c>
      <c r="L199" t="s">
        <v>19</v>
      </c>
      <c r="M199">
        <v>5087.1000000000004</v>
      </c>
      <c r="N199">
        <v>792</v>
      </c>
      <c r="O199" s="8">
        <v>180</v>
      </c>
      <c r="P199">
        <v>2586.8000000000002</v>
      </c>
      <c r="Q199" s="5">
        <f t="shared" si="10"/>
        <v>0.42692809163077022</v>
      </c>
      <c r="R199" s="26">
        <f t="shared" si="11"/>
        <v>8645.9000000000015</v>
      </c>
      <c r="S199" s="27">
        <f t="shared" si="12"/>
        <v>10202.162000000002</v>
      </c>
    </row>
    <row r="200" spans="1:19" x14ac:dyDescent="0.3">
      <c r="A200">
        <v>200010076</v>
      </c>
      <c r="B200" s="18">
        <v>273723367</v>
      </c>
      <c r="C200" s="22">
        <v>46251</v>
      </c>
      <c r="D200" s="19">
        <v>875160210575</v>
      </c>
      <c r="E200" s="37">
        <v>39837</v>
      </c>
      <c r="F200" t="s">
        <v>41</v>
      </c>
      <c r="G200">
        <v>8.5</v>
      </c>
      <c r="H200">
        <v>56</v>
      </c>
      <c r="I200">
        <v>30</v>
      </c>
      <c r="J200">
        <v>29</v>
      </c>
      <c r="K200">
        <v>8.5</v>
      </c>
      <c r="L200" t="s">
        <v>19</v>
      </c>
      <c r="M200">
        <v>3184.4</v>
      </c>
      <c r="N200">
        <v>561</v>
      </c>
      <c r="O200" s="8">
        <v>180</v>
      </c>
      <c r="P200">
        <v>1648</v>
      </c>
      <c r="Q200" s="5">
        <f t="shared" si="10"/>
        <v>0.41982982625974424</v>
      </c>
      <c r="R200" s="26">
        <f t="shared" si="11"/>
        <v>5573.4</v>
      </c>
      <c r="S200" s="27">
        <f t="shared" si="12"/>
        <v>6576.6119999999992</v>
      </c>
    </row>
    <row r="201" spans="1:19" x14ac:dyDescent="0.3">
      <c r="A201">
        <v>200010076</v>
      </c>
      <c r="B201" s="18">
        <v>273723367</v>
      </c>
      <c r="C201" s="22">
        <v>46251</v>
      </c>
      <c r="D201" s="19">
        <v>875160216470</v>
      </c>
      <c r="E201" s="37">
        <v>40608</v>
      </c>
      <c r="F201" t="s">
        <v>41</v>
      </c>
      <c r="G201">
        <v>2.5</v>
      </c>
      <c r="H201">
        <v>57</v>
      </c>
      <c r="I201">
        <v>15</v>
      </c>
      <c r="J201">
        <v>15</v>
      </c>
      <c r="K201">
        <v>2.5</v>
      </c>
      <c r="L201" t="s">
        <v>19</v>
      </c>
      <c r="M201">
        <v>1671.3</v>
      </c>
      <c r="N201">
        <v>165</v>
      </c>
      <c r="O201" s="8">
        <v>180</v>
      </c>
      <c r="P201">
        <v>808</v>
      </c>
      <c r="Q201" s="5">
        <f t="shared" si="10"/>
        <v>0.40073401775529438</v>
      </c>
      <c r="R201" s="26">
        <f t="shared" si="11"/>
        <v>2824.3</v>
      </c>
      <c r="S201" s="27">
        <f t="shared" si="12"/>
        <v>3332.674</v>
      </c>
    </row>
    <row r="202" spans="1:19" x14ac:dyDescent="0.3">
      <c r="A202">
        <v>200010076</v>
      </c>
      <c r="B202" s="18">
        <v>273723367</v>
      </c>
      <c r="C202" s="22">
        <v>46251</v>
      </c>
      <c r="D202" s="19">
        <v>875160220061</v>
      </c>
      <c r="E202" s="37">
        <v>40912</v>
      </c>
      <c r="F202" t="s">
        <v>41</v>
      </c>
      <c r="G202">
        <v>3.5</v>
      </c>
      <c r="H202">
        <v>51</v>
      </c>
      <c r="I202">
        <v>20</v>
      </c>
      <c r="J202">
        <v>19</v>
      </c>
      <c r="K202">
        <v>3.5</v>
      </c>
      <c r="L202" t="s">
        <v>19</v>
      </c>
      <c r="M202">
        <v>1833.3</v>
      </c>
      <c r="N202">
        <v>231</v>
      </c>
      <c r="O202" s="8">
        <v>180</v>
      </c>
      <c r="P202">
        <v>908.3</v>
      </c>
      <c r="Q202" s="5">
        <f t="shared" si="10"/>
        <v>0.40471416477298039</v>
      </c>
      <c r="R202" s="26">
        <f t="shared" si="11"/>
        <v>3152.6000000000004</v>
      </c>
      <c r="S202" s="27">
        <f t="shared" si="12"/>
        <v>3720.0680000000002</v>
      </c>
    </row>
    <row r="203" spans="1:19" x14ac:dyDescent="0.3">
      <c r="A203">
        <v>200010076</v>
      </c>
      <c r="B203" s="18">
        <v>273723367</v>
      </c>
      <c r="C203" s="22">
        <v>46251</v>
      </c>
      <c r="D203" s="19">
        <v>875160222330</v>
      </c>
      <c r="E203" s="37">
        <v>41051</v>
      </c>
      <c r="F203" t="s">
        <v>41</v>
      </c>
      <c r="G203">
        <v>5</v>
      </c>
      <c r="H203">
        <v>67</v>
      </c>
      <c r="I203">
        <v>21</v>
      </c>
      <c r="J203">
        <v>20</v>
      </c>
      <c r="K203">
        <v>5</v>
      </c>
      <c r="L203" t="s">
        <v>19</v>
      </c>
      <c r="M203">
        <v>2231.6999999999998</v>
      </c>
      <c r="N203">
        <v>330</v>
      </c>
      <c r="O203" s="8">
        <v>180</v>
      </c>
      <c r="P203">
        <v>1127.2</v>
      </c>
      <c r="Q203" s="5">
        <f t="shared" si="10"/>
        <v>0.41113177955283225</v>
      </c>
      <c r="R203" s="26">
        <f t="shared" si="11"/>
        <v>3868.8999999999996</v>
      </c>
      <c r="S203" s="27">
        <f t="shared" si="12"/>
        <v>4565.3019999999997</v>
      </c>
    </row>
    <row r="204" spans="1:19" x14ac:dyDescent="0.3">
      <c r="A204">
        <v>200010076</v>
      </c>
      <c r="B204" s="18">
        <v>273723367</v>
      </c>
      <c r="C204" s="22">
        <v>46251</v>
      </c>
      <c r="D204" s="19">
        <v>875160224295</v>
      </c>
      <c r="E204" s="37">
        <v>41055</v>
      </c>
      <c r="F204" t="s">
        <v>41</v>
      </c>
      <c r="G204">
        <v>6.5</v>
      </c>
      <c r="H204">
        <v>66</v>
      </c>
      <c r="I204">
        <v>24</v>
      </c>
      <c r="J204">
        <v>23</v>
      </c>
      <c r="K204">
        <v>6.5</v>
      </c>
      <c r="L204" t="s">
        <v>19</v>
      </c>
      <c r="M204">
        <v>2724.1</v>
      </c>
      <c r="N204">
        <v>429</v>
      </c>
      <c r="O204" s="8">
        <v>180</v>
      </c>
      <c r="P204" s="8">
        <v>1387.4</v>
      </c>
      <c r="Q204" s="5">
        <f t="shared" si="10"/>
        <v>0.41624913743962083</v>
      </c>
      <c r="R204" s="26">
        <f t="shared" si="11"/>
        <v>4720.5</v>
      </c>
      <c r="S204" s="27">
        <f t="shared" si="12"/>
        <v>5570.19</v>
      </c>
    </row>
    <row r="205" spans="1:19" x14ac:dyDescent="0.3">
      <c r="A205">
        <v>200010076</v>
      </c>
      <c r="B205" s="18">
        <v>273723367</v>
      </c>
      <c r="C205" s="22">
        <v>46251</v>
      </c>
      <c r="D205" s="19">
        <v>875160229974</v>
      </c>
      <c r="E205" s="37">
        <v>41259</v>
      </c>
      <c r="F205" t="s">
        <v>41</v>
      </c>
      <c r="G205">
        <v>12.5</v>
      </c>
      <c r="H205">
        <v>73</v>
      </c>
      <c r="I205">
        <v>32</v>
      </c>
      <c r="J205">
        <v>31</v>
      </c>
      <c r="K205">
        <v>12.5</v>
      </c>
      <c r="L205" t="s">
        <v>19</v>
      </c>
      <c r="M205">
        <v>5257.8</v>
      </c>
      <c r="N205">
        <v>825</v>
      </c>
      <c r="O205" s="8">
        <v>180</v>
      </c>
      <c r="P205" s="8">
        <v>2676.4</v>
      </c>
      <c r="Q205" s="5">
        <f t="shared" si="10"/>
        <v>0.42734878967873796</v>
      </c>
      <c r="R205" s="26">
        <f t="shared" si="11"/>
        <v>8939.2000000000007</v>
      </c>
      <c r="S205" s="27">
        <f t="shared" si="12"/>
        <v>10548.255999999999</v>
      </c>
    </row>
    <row r="206" spans="1:19" x14ac:dyDescent="0.3">
      <c r="A206">
        <v>200010076</v>
      </c>
      <c r="B206" s="18">
        <v>273723367</v>
      </c>
      <c r="C206" s="22">
        <v>46251</v>
      </c>
      <c r="D206" s="19">
        <v>875160233576</v>
      </c>
      <c r="E206" s="37">
        <v>41268</v>
      </c>
      <c r="F206" t="s">
        <v>41</v>
      </c>
      <c r="G206">
        <v>6</v>
      </c>
      <c r="H206">
        <v>53</v>
      </c>
      <c r="I206">
        <v>26</v>
      </c>
      <c r="J206">
        <v>25</v>
      </c>
      <c r="K206">
        <v>6</v>
      </c>
      <c r="L206" t="s">
        <v>19</v>
      </c>
      <c r="M206">
        <v>2609.1</v>
      </c>
      <c r="N206">
        <v>396</v>
      </c>
      <c r="O206">
        <v>180</v>
      </c>
      <c r="P206">
        <v>1322.2</v>
      </c>
      <c r="Q206" s="5">
        <f t="shared" si="10"/>
        <v>0.41512040438290793</v>
      </c>
      <c r="R206" s="26">
        <f t="shared" si="11"/>
        <v>4507.3</v>
      </c>
      <c r="S206" s="27">
        <f t="shared" si="12"/>
        <v>5318.6139999999996</v>
      </c>
    </row>
    <row r="207" spans="1:19" x14ac:dyDescent="0.3">
      <c r="A207">
        <v>200010076</v>
      </c>
      <c r="B207" s="18">
        <v>273723367</v>
      </c>
      <c r="C207" s="22">
        <v>46251</v>
      </c>
      <c r="D207" s="19">
        <v>875160237777</v>
      </c>
      <c r="E207" s="37">
        <v>41279</v>
      </c>
      <c r="F207" t="s">
        <v>41</v>
      </c>
      <c r="G207">
        <v>5</v>
      </c>
      <c r="H207">
        <v>59</v>
      </c>
      <c r="I207">
        <v>22</v>
      </c>
      <c r="J207">
        <v>22</v>
      </c>
      <c r="K207">
        <v>5</v>
      </c>
      <c r="L207" t="s">
        <v>19</v>
      </c>
      <c r="M207">
        <v>2231.6999999999998</v>
      </c>
      <c r="N207">
        <v>330</v>
      </c>
      <c r="O207">
        <v>180</v>
      </c>
      <c r="P207">
        <v>1127.2</v>
      </c>
      <c r="Q207" s="5">
        <f t="shared" si="10"/>
        <v>0.41113177955283225</v>
      </c>
      <c r="R207" s="26">
        <f t="shared" si="11"/>
        <v>3868.8999999999996</v>
      </c>
      <c r="S207" s="27">
        <f t="shared" si="12"/>
        <v>4565.3019999999997</v>
      </c>
    </row>
    <row r="208" spans="1:19" x14ac:dyDescent="0.3">
      <c r="A208">
        <v>200010076</v>
      </c>
      <c r="B208" s="18">
        <v>273723367</v>
      </c>
      <c r="C208" s="22">
        <v>46251</v>
      </c>
      <c r="D208" s="19">
        <v>875160240843</v>
      </c>
      <c r="E208" s="37">
        <v>41369</v>
      </c>
      <c r="F208" t="s">
        <v>41</v>
      </c>
      <c r="G208">
        <v>5</v>
      </c>
      <c r="H208">
        <v>45</v>
      </c>
      <c r="I208">
        <v>25</v>
      </c>
      <c r="J208">
        <v>24</v>
      </c>
      <c r="K208">
        <v>5</v>
      </c>
      <c r="L208" t="s">
        <v>19</v>
      </c>
      <c r="M208">
        <v>2231.6999999999998</v>
      </c>
      <c r="N208">
        <v>330</v>
      </c>
      <c r="O208">
        <v>180</v>
      </c>
      <c r="P208">
        <v>1127.2</v>
      </c>
      <c r="Q208" s="5">
        <f t="shared" si="10"/>
        <v>0.41113177955283225</v>
      </c>
      <c r="R208" s="26">
        <f t="shared" si="11"/>
        <v>3868.8999999999996</v>
      </c>
      <c r="S208" s="27">
        <f t="shared" si="12"/>
        <v>4565.3019999999997</v>
      </c>
    </row>
    <row r="209" spans="1:19" x14ac:dyDescent="0.3">
      <c r="A209">
        <v>200010076</v>
      </c>
      <c r="B209" s="18">
        <v>273723367</v>
      </c>
      <c r="C209" s="22">
        <v>46251</v>
      </c>
      <c r="D209" s="19">
        <v>875160245010</v>
      </c>
      <c r="E209" s="37">
        <v>41438</v>
      </c>
      <c r="F209" t="s">
        <v>41</v>
      </c>
      <c r="G209">
        <v>5.5</v>
      </c>
      <c r="H209">
        <v>69</v>
      </c>
      <c r="I209">
        <v>23</v>
      </c>
      <c r="J209">
        <v>20</v>
      </c>
      <c r="K209">
        <v>5.5</v>
      </c>
      <c r="L209" t="s">
        <v>19</v>
      </c>
      <c r="M209">
        <v>2494</v>
      </c>
      <c r="N209">
        <v>363</v>
      </c>
      <c r="O209">
        <v>180</v>
      </c>
      <c r="P209">
        <v>1257.0999999999999</v>
      </c>
      <c r="Q209" s="5">
        <f t="shared" si="10"/>
        <v>0.41392821863681262</v>
      </c>
      <c r="R209" s="26">
        <f t="shared" si="11"/>
        <v>4294.1000000000004</v>
      </c>
      <c r="S209" s="27">
        <f t="shared" si="12"/>
        <v>5067.0380000000005</v>
      </c>
    </row>
    <row r="210" spans="1:19" x14ac:dyDescent="0.3">
      <c r="A210">
        <v>200010076</v>
      </c>
      <c r="B210" s="18">
        <v>273723367</v>
      </c>
      <c r="C210" s="22">
        <v>46251</v>
      </c>
      <c r="D210" s="19">
        <v>875160245694</v>
      </c>
      <c r="E210" s="37">
        <v>41496</v>
      </c>
      <c r="F210" t="s">
        <v>41</v>
      </c>
      <c r="G210">
        <v>22.5</v>
      </c>
      <c r="H210">
        <v>84</v>
      </c>
      <c r="I210">
        <v>41</v>
      </c>
      <c r="J210">
        <v>39</v>
      </c>
      <c r="K210">
        <v>22.5</v>
      </c>
      <c r="L210" t="s">
        <v>19</v>
      </c>
      <c r="M210">
        <v>8947.9</v>
      </c>
      <c r="N210">
        <v>1485</v>
      </c>
      <c r="O210">
        <v>180</v>
      </c>
      <c r="P210">
        <v>4590.5</v>
      </c>
      <c r="Q210" s="5">
        <f t="shared" si="10"/>
        <v>0.43253964514882831</v>
      </c>
      <c r="R210" s="26">
        <f t="shared" si="11"/>
        <v>15203.4</v>
      </c>
      <c r="S210" s="27">
        <f t="shared" si="12"/>
        <v>17940.011999999999</v>
      </c>
    </row>
    <row r="211" spans="1:19" x14ac:dyDescent="0.3">
      <c r="A211">
        <v>200010076</v>
      </c>
      <c r="B211" s="18">
        <v>273723367</v>
      </c>
      <c r="C211" s="22">
        <v>46251</v>
      </c>
      <c r="D211" s="19">
        <v>875160250329</v>
      </c>
      <c r="E211" s="37">
        <v>41518</v>
      </c>
      <c r="F211" t="s">
        <v>41</v>
      </c>
      <c r="G211">
        <v>4</v>
      </c>
      <c r="H211">
        <v>50</v>
      </c>
      <c r="I211">
        <v>21</v>
      </c>
      <c r="J211">
        <v>20</v>
      </c>
      <c r="K211">
        <v>4</v>
      </c>
      <c r="L211" t="s">
        <v>19</v>
      </c>
      <c r="M211">
        <v>1966.1</v>
      </c>
      <c r="N211">
        <v>264</v>
      </c>
      <c r="O211">
        <v>180</v>
      </c>
      <c r="P211">
        <v>981.2</v>
      </c>
      <c r="Q211" s="5">
        <f t="shared" si="10"/>
        <v>0.40712003651300777</v>
      </c>
      <c r="R211" s="26">
        <f t="shared" si="11"/>
        <v>3391.3</v>
      </c>
      <c r="S211" s="27">
        <f t="shared" si="12"/>
        <v>4001.7339999999999</v>
      </c>
    </row>
    <row r="212" spans="1:19" x14ac:dyDescent="0.3">
      <c r="A212">
        <v>200010076</v>
      </c>
      <c r="B212" s="18">
        <v>273723367</v>
      </c>
      <c r="C212" s="22">
        <v>46251</v>
      </c>
      <c r="D212" s="19">
        <v>875160252880</v>
      </c>
      <c r="E212" s="37">
        <v>41556</v>
      </c>
      <c r="F212" t="s">
        <v>41</v>
      </c>
      <c r="G212">
        <v>10.5</v>
      </c>
      <c r="H212">
        <v>65</v>
      </c>
      <c r="I212">
        <v>31</v>
      </c>
      <c r="J212">
        <v>30</v>
      </c>
      <c r="K212">
        <v>10.5</v>
      </c>
      <c r="L212" t="s">
        <v>19</v>
      </c>
      <c r="M212">
        <v>4575.1000000000004</v>
      </c>
      <c r="N212">
        <v>693</v>
      </c>
      <c r="O212">
        <v>180</v>
      </c>
      <c r="P212">
        <v>2318</v>
      </c>
      <c r="Q212" s="5">
        <f t="shared" si="10"/>
        <v>0.42546942970943996</v>
      </c>
      <c r="R212" s="26">
        <f t="shared" si="11"/>
        <v>7766.1</v>
      </c>
      <c r="S212" s="27">
        <f t="shared" si="12"/>
        <v>9163.9979999999996</v>
      </c>
    </row>
    <row r="213" spans="1:19" x14ac:dyDescent="0.3">
      <c r="A213">
        <v>200010076</v>
      </c>
      <c r="B213" s="18">
        <v>273723367</v>
      </c>
      <c r="C213" s="22">
        <v>46251</v>
      </c>
      <c r="D213" s="19">
        <v>875160254140</v>
      </c>
      <c r="E213" s="37">
        <v>41533</v>
      </c>
      <c r="F213" t="s">
        <v>41</v>
      </c>
      <c r="G213">
        <v>11</v>
      </c>
      <c r="H213">
        <v>62</v>
      </c>
      <c r="I213">
        <v>32</v>
      </c>
      <c r="J213">
        <v>31</v>
      </c>
      <c r="K213">
        <v>11</v>
      </c>
      <c r="L213" t="s">
        <v>19</v>
      </c>
      <c r="M213">
        <v>4745.8</v>
      </c>
      <c r="N213">
        <v>726</v>
      </c>
      <c r="O213">
        <v>180</v>
      </c>
      <c r="P213">
        <v>2407.6</v>
      </c>
      <c r="Q213" s="5">
        <f t="shared" si="10"/>
        <v>0.42598818075657308</v>
      </c>
      <c r="R213" s="26">
        <f t="shared" si="11"/>
        <v>8059.4</v>
      </c>
      <c r="S213" s="27">
        <f t="shared" si="12"/>
        <v>9510.0919999999987</v>
      </c>
    </row>
    <row r="214" spans="1:19" x14ac:dyDescent="0.3">
      <c r="A214">
        <v>200010076</v>
      </c>
      <c r="B214" s="18">
        <v>273723367</v>
      </c>
      <c r="C214" s="22">
        <v>46251</v>
      </c>
      <c r="D214" s="19">
        <v>875160260271</v>
      </c>
      <c r="E214" s="37">
        <v>41798</v>
      </c>
      <c r="F214" t="s">
        <v>41</v>
      </c>
      <c r="G214">
        <v>3.5</v>
      </c>
      <c r="H214">
        <v>53</v>
      </c>
      <c r="I214">
        <v>19</v>
      </c>
      <c r="J214">
        <v>18</v>
      </c>
      <c r="K214">
        <v>3.5</v>
      </c>
      <c r="L214" t="s">
        <v>19</v>
      </c>
      <c r="M214">
        <v>1833.3</v>
      </c>
      <c r="N214">
        <v>231</v>
      </c>
      <c r="O214">
        <v>180</v>
      </c>
      <c r="P214">
        <v>908.3</v>
      </c>
      <c r="Q214" s="5">
        <f t="shared" si="10"/>
        <v>0.40471416477298039</v>
      </c>
      <c r="R214" s="26">
        <f t="shared" si="11"/>
        <v>3152.6000000000004</v>
      </c>
      <c r="S214" s="27">
        <f t="shared" si="12"/>
        <v>3720.0680000000002</v>
      </c>
    </row>
    <row r="215" spans="1:19" x14ac:dyDescent="0.3">
      <c r="A215">
        <v>200010076</v>
      </c>
      <c r="B215" s="18">
        <v>273723367</v>
      </c>
      <c r="C215" s="22">
        <v>46251</v>
      </c>
      <c r="D215" s="19">
        <v>875160262458</v>
      </c>
      <c r="E215" s="37">
        <v>41972</v>
      </c>
      <c r="F215" t="s">
        <v>41</v>
      </c>
      <c r="G215">
        <v>3.5</v>
      </c>
      <c r="H215">
        <v>36</v>
      </c>
      <c r="I215">
        <v>27</v>
      </c>
      <c r="J215">
        <v>19</v>
      </c>
      <c r="K215">
        <v>3.5</v>
      </c>
      <c r="L215" t="s">
        <v>19</v>
      </c>
      <c r="M215">
        <v>1833.3</v>
      </c>
      <c r="N215">
        <v>231</v>
      </c>
      <c r="O215">
        <v>180</v>
      </c>
      <c r="P215">
        <v>908.3</v>
      </c>
      <c r="Q215" s="5">
        <f t="shared" si="10"/>
        <v>0.40471416477298039</v>
      </c>
      <c r="R215" s="26">
        <f t="shared" si="11"/>
        <v>3152.6000000000004</v>
      </c>
      <c r="S215" s="27">
        <f t="shared" si="12"/>
        <v>3720.0680000000002</v>
      </c>
    </row>
    <row r="216" spans="1:19" x14ac:dyDescent="0.3">
      <c r="A216">
        <v>200010076</v>
      </c>
      <c r="B216" s="18">
        <v>273723367</v>
      </c>
      <c r="C216" s="22">
        <v>46251</v>
      </c>
      <c r="D216" s="19">
        <v>875160265490</v>
      </c>
      <c r="E216" s="37">
        <v>42043</v>
      </c>
      <c r="F216" t="s">
        <v>41</v>
      </c>
      <c r="G216">
        <v>34</v>
      </c>
      <c r="H216">
        <v>97</v>
      </c>
      <c r="I216">
        <v>48</v>
      </c>
      <c r="J216">
        <v>43</v>
      </c>
      <c r="K216">
        <v>34</v>
      </c>
      <c r="L216" t="s">
        <v>19</v>
      </c>
      <c r="M216">
        <v>13337</v>
      </c>
      <c r="N216">
        <v>2244</v>
      </c>
      <c r="O216">
        <v>2415</v>
      </c>
      <c r="P216">
        <v>7839</v>
      </c>
      <c r="Q216" s="5">
        <f t="shared" si="10"/>
        <v>0.43559679928873085</v>
      </c>
      <c r="R216" s="26">
        <f t="shared" si="11"/>
        <v>25835</v>
      </c>
      <c r="S216" s="27">
        <f t="shared" si="12"/>
        <v>30485.3</v>
      </c>
    </row>
    <row r="217" spans="1:19" x14ac:dyDescent="0.3">
      <c r="A217">
        <v>200010076</v>
      </c>
      <c r="B217" s="18">
        <v>273723367</v>
      </c>
      <c r="C217" s="22">
        <v>46251</v>
      </c>
      <c r="D217" s="19">
        <v>875160269279</v>
      </c>
      <c r="E217" s="37">
        <v>42092</v>
      </c>
      <c r="F217" t="s">
        <v>41</v>
      </c>
      <c r="G217">
        <v>9</v>
      </c>
      <c r="H217">
        <v>48</v>
      </c>
      <c r="I217">
        <v>30</v>
      </c>
      <c r="J217">
        <v>30</v>
      </c>
      <c r="K217">
        <v>9</v>
      </c>
      <c r="L217" t="s">
        <v>19</v>
      </c>
      <c r="M217">
        <v>3299.4</v>
      </c>
      <c r="N217">
        <v>594</v>
      </c>
      <c r="O217">
        <v>180</v>
      </c>
      <c r="P217">
        <v>1713.1</v>
      </c>
      <c r="Q217" s="5">
        <f t="shared" si="10"/>
        <v>0.42055776501202924</v>
      </c>
      <c r="R217" s="26">
        <f t="shared" si="11"/>
        <v>5786.5</v>
      </c>
      <c r="S217" s="27">
        <f t="shared" si="12"/>
        <v>6828.07</v>
      </c>
    </row>
    <row r="218" spans="1:19" x14ac:dyDescent="0.3">
      <c r="A218">
        <v>200010076</v>
      </c>
      <c r="B218" s="18">
        <v>273723367</v>
      </c>
      <c r="C218" s="22">
        <v>46251</v>
      </c>
      <c r="D218" s="19">
        <v>875160272908</v>
      </c>
      <c r="E218" s="37">
        <v>42105</v>
      </c>
      <c r="F218" t="s">
        <v>41</v>
      </c>
      <c r="G218">
        <v>4.5</v>
      </c>
      <c r="H218">
        <v>46</v>
      </c>
      <c r="I218">
        <v>24</v>
      </c>
      <c r="J218">
        <v>22</v>
      </c>
      <c r="K218">
        <v>4.5</v>
      </c>
      <c r="L218" t="s">
        <v>19</v>
      </c>
      <c r="M218">
        <v>2098.9</v>
      </c>
      <c r="N218">
        <v>297</v>
      </c>
      <c r="O218">
        <v>180</v>
      </c>
      <c r="P218">
        <v>1054.2</v>
      </c>
      <c r="Q218" s="5">
        <f t="shared" si="10"/>
        <v>0.40925501766372918</v>
      </c>
      <c r="R218" s="26">
        <f t="shared" si="11"/>
        <v>3630.1000000000004</v>
      </c>
      <c r="S218" s="27">
        <f t="shared" si="12"/>
        <v>4283.518</v>
      </c>
    </row>
    <row r="219" spans="1:19" x14ac:dyDescent="0.3">
      <c r="A219">
        <v>200010076</v>
      </c>
      <c r="B219" s="18">
        <v>273723367</v>
      </c>
      <c r="C219" s="22">
        <v>46251</v>
      </c>
      <c r="D219" s="19">
        <v>875160276579</v>
      </c>
      <c r="E219" s="37">
        <v>7871689</v>
      </c>
      <c r="F219" t="s">
        <v>41</v>
      </c>
      <c r="G219">
        <v>5</v>
      </c>
      <c r="H219">
        <v>36</v>
      </c>
      <c r="I219">
        <v>30</v>
      </c>
      <c r="J219">
        <v>14</v>
      </c>
      <c r="K219">
        <v>5</v>
      </c>
      <c r="L219" t="s">
        <v>19</v>
      </c>
      <c r="M219">
        <v>2231.6999999999998</v>
      </c>
      <c r="N219">
        <v>330</v>
      </c>
      <c r="O219">
        <v>180</v>
      </c>
      <c r="P219">
        <v>1127.2</v>
      </c>
      <c r="Q219" s="5">
        <f t="shared" si="10"/>
        <v>0.41113177955283225</v>
      </c>
      <c r="R219" s="26">
        <f t="shared" si="11"/>
        <v>3868.8999999999996</v>
      </c>
      <c r="S219" s="27">
        <f t="shared" si="12"/>
        <v>4565.3019999999997</v>
      </c>
    </row>
    <row r="220" spans="1:19" x14ac:dyDescent="0.3">
      <c r="A220">
        <v>200010076</v>
      </c>
      <c r="B220" s="18">
        <v>273723367</v>
      </c>
      <c r="C220" s="22">
        <v>46251</v>
      </c>
      <c r="D220" s="19">
        <v>875160285713</v>
      </c>
      <c r="E220" s="37">
        <v>4104810284</v>
      </c>
      <c r="F220" t="s">
        <v>41</v>
      </c>
      <c r="G220">
        <v>8.5</v>
      </c>
      <c r="H220">
        <v>76</v>
      </c>
      <c r="I220">
        <v>26</v>
      </c>
      <c r="J220">
        <v>25</v>
      </c>
      <c r="K220">
        <v>8.5</v>
      </c>
      <c r="L220" t="s">
        <v>19</v>
      </c>
      <c r="M220">
        <v>3184.4</v>
      </c>
      <c r="N220">
        <v>561</v>
      </c>
      <c r="O220">
        <v>180</v>
      </c>
      <c r="P220">
        <v>1648</v>
      </c>
      <c r="Q220" s="5">
        <f t="shared" si="10"/>
        <v>0.41982982625974424</v>
      </c>
      <c r="R220" s="26">
        <f t="shared" si="11"/>
        <v>5573.4</v>
      </c>
      <c r="S220" s="27">
        <f t="shared" si="12"/>
        <v>6576.6119999999992</v>
      </c>
    </row>
    <row r="221" spans="1:19" x14ac:dyDescent="0.3">
      <c r="A221">
        <v>200010076</v>
      </c>
      <c r="B221" s="18">
        <v>273723367</v>
      </c>
      <c r="C221" s="22">
        <v>46251</v>
      </c>
      <c r="D221" s="19">
        <v>875160288399</v>
      </c>
      <c r="E221" s="37">
        <v>4108153693</v>
      </c>
      <c r="F221" t="s">
        <v>41</v>
      </c>
      <c r="G221">
        <v>5</v>
      </c>
      <c r="H221">
        <v>56</v>
      </c>
      <c r="I221">
        <v>28</v>
      </c>
      <c r="J221">
        <v>23</v>
      </c>
      <c r="K221">
        <v>6</v>
      </c>
      <c r="L221" t="s">
        <v>19</v>
      </c>
      <c r="M221">
        <v>2609.1</v>
      </c>
      <c r="N221">
        <v>396</v>
      </c>
      <c r="O221">
        <v>180</v>
      </c>
      <c r="P221">
        <v>1322.2</v>
      </c>
      <c r="Q221" s="5">
        <f t="shared" si="10"/>
        <v>0.41512040438290793</v>
      </c>
      <c r="R221" s="26">
        <f t="shared" si="11"/>
        <v>4507.3</v>
      </c>
      <c r="S221" s="27">
        <f t="shared" si="12"/>
        <v>5318.6139999999996</v>
      </c>
    </row>
    <row r="222" spans="1:19" x14ac:dyDescent="0.3">
      <c r="A222">
        <v>200010076</v>
      </c>
      <c r="B222" s="18">
        <v>273723367</v>
      </c>
      <c r="C222" s="22">
        <v>46251</v>
      </c>
      <c r="D222" s="19">
        <v>875160289708</v>
      </c>
      <c r="E222" s="37">
        <v>42264</v>
      </c>
      <c r="F222" t="s">
        <v>41</v>
      </c>
      <c r="G222">
        <v>7.5</v>
      </c>
      <c r="H222">
        <v>50</v>
      </c>
      <c r="I222">
        <v>30</v>
      </c>
      <c r="J222">
        <v>29</v>
      </c>
      <c r="K222">
        <v>7.5</v>
      </c>
      <c r="L222" t="s">
        <v>19</v>
      </c>
      <c r="M222">
        <v>2954.2</v>
      </c>
      <c r="N222">
        <v>495</v>
      </c>
      <c r="O222">
        <v>180</v>
      </c>
      <c r="P222">
        <v>1517.7</v>
      </c>
      <c r="Q222" s="5">
        <f t="shared" si="10"/>
        <v>0.41819133693375954</v>
      </c>
      <c r="R222" s="26">
        <f t="shared" si="11"/>
        <v>5146.8999999999996</v>
      </c>
      <c r="S222" s="27">
        <f t="shared" si="12"/>
        <v>6073.3419999999996</v>
      </c>
    </row>
    <row r="223" spans="1:19" x14ac:dyDescent="0.3">
      <c r="A223">
        <v>200010076</v>
      </c>
      <c r="B223" s="18">
        <v>273723367</v>
      </c>
      <c r="C223" s="22">
        <v>46251</v>
      </c>
      <c r="D223" s="19">
        <v>875160296011</v>
      </c>
      <c r="E223" s="37">
        <v>42286</v>
      </c>
      <c r="F223" t="s">
        <v>41</v>
      </c>
      <c r="G223">
        <v>9</v>
      </c>
      <c r="H223">
        <v>66</v>
      </c>
      <c r="I223">
        <v>30</v>
      </c>
      <c r="J223">
        <v>25</v>
      </c>
      <c r="K223">
        <v>9</v>
      </c>
      <c r="L223" t="s">
        <v>19</v>
      </c>
      <c r="M223">
        <v>3299.4</v>
      </c>
      <c r="N223">
        <v>594</v>
      </c>
      <c r="O223">
        <v>180</v>
      </c>
      <c r="P223">
        <v>1713.1</v>
      </c>
      <c r="Q223" s="5">
        <f t="shared" si="10"/>
        <v>0.42055776501202924</v>
      </c>
      <c r="R223" s="26">
        <f t="shared" si="11"/>
        <v>5786.5</v>
      </c>
      <c r="S223" s="27">
        <f t="shared" si="12"/>
        <v>6828.07</v>
      </c>
    </row>
    <row r="224" spans="1:19" x14ac:dyDescent="0.3">
      <c r="A224">
        <v>200010076</v>
      </c>
      <c r="B224" s="18">
        <v>273723367</v>
      </c>
      <c r="C224" s="22">
        <v>46251</v>
      </c>
      <c r="D224" s="19">
        <v>875160303256</v>
      </c>
      <c r="E224" s="37">
        <v>42345</v>
      </c>
      <c r="F224" t="s">
        <v>41</v>
      </c>
      <c r="G224">
        <v>10.5</v>
      </c>
      <c r="H224">
        <v>73</v>
      </c>
      <c r="I224">
        <v>30</v>
      </c>
      <c r="J224">
        <v>28</v>
      </c>
      <c r="K224">
        <v>10.5</v>
      </c>
      <c r="L224" t="s">
        <v>19</v>
      </c>
      <c r="M224">
        <v>4575.1000000000004</v>
      </c>
      <c r="N224">
        <v>693</v>
      </c>
      <c r="O224">
        <v>180</v>
      </c>
      <c r="P224">
        <v>2318</v>
      </c>
      <c r="Q224" s="5">
        <f t="shared" si="10"/>
        <v>0.42546942970943996</v>
      </c>
      <c r="R224" s="26">
        <f t="shared" si="11"/>
        <v>7766.1</v>
      </c>
      <c r="S224" s="27">
        <f t="shared" si="12"/>
        <v>9163.9979999999996</v>
      </c>
    </row>
    <row r="225" spans="1:19" x14ac:dyDescent="0.3">
      <c r="A225">
        <v>200010076</v>
      </c>
      <c r="B225" s="18">
        <v>273723367</v>
      </c>
      <c r="C225" s="22">
        <v>46251</v>
      </c>
      <c r="D225" s="19">
        <v>875160308085</v>
      </c>
      <c r="E225" s="37">
        <v>42373</v>
      </c>
      <c r="F225" t="s">
        <v>41</v>
      </c>
      <c r="G225">
        <v>10.5</v>
      </c>
      <c r="H225">
        <v>73</v>
      </c>
      <c r="I225">
        <v>30</v>
      </c>
      <c r="J225">
        <v>27</v>
      </c>
      <c r="K225">
        <v>10.5</v>
      </c>
      <c r="L225" t="s">
        <v>19</v>
      </c>
      <c r="M225">
        <v>4575.1000000000004</v>
      </c>
      <c r="N225">
        <v>693</v>
      </c>
      <c r="O225">
        <v>180</v>
      </c>
      <c r="P225">
        <v>2318</v>
      </c>
      <c r="Q225" s="5">
        <f t="shared" si="10"/>
        <v>0.42546942970943996</v>
      </c>
      <c r="R225" s="26">
        <f t="shared" si="11"/>
        <v>7766.1</v>
      </c>
      <c r="S225" s="27">
        <f t="shared" si="12"/>
        <v>9163.9979999999996</v>
      </c>
    </row>
    <row r="226" spans="1:19" x14ac:dyDescent="0.3">
      <c r="A226">
        <v>200010076</v>
      </c>
      <c r="B226" s="18">
        <v>273723367</v>
      </c>
      <c r="C226" s="22">
        <v>46251</v>
      </c>
      <c r="D226" s="19">
        <v>875160312294</v>
      </c>
      <c r="E226" s="37">
        <v>42494</v>
      </c>
      <c r="F226" t="s">
        <v>41</v>
      </c>
      <c r="G226">
        <v>20</v>
      </c>
      <c r="H226">
        <v>72</v>
      </c>
      <c r="I226">
        <v>41</v>
      </c>
      <c r="J226">
        <v>39</v>
      </c>
      <c r="K226">
        <v>20</v>
      </c>
      <c r="L226" t="s">
        <v>19</v>
      </c>
      <c r="M226">
        <v>7818.1</v>
      </c>
      <c r="N226">
        <v>1320</v>
      </c>
      <c r="O226">
        <v>245</v>
      </c>
      <c r="P226">
        <v>4020.8</v>
      </c>
      <c r="Q226" s="5">
        <f t="shared" si="10"/>
        <v>0.42851509629013868</v>
      </c>
      <c r="R226" s="26">
        <f t="shared" si="11"/>
        <v>13403.900000000001</v>
      </c>
      <c r="S226" s="27">
        <f t="shared" si="12"/>
        <v>15816.602000000001</v>
      </c>
    </row>
    <row r="227" spans="1:19" x14ac:dyDescent="0.3">
      <c r="A227">
        <v>200010076</v>
      </c>
      <c r="B227" s="18">
        <v>273723367</v>
      </c>
      <c r="C227" s="22">
        <v>46251</v>
      </c>
      <c r="D227" s="19">
        <v>875160316120</v>
      </c>
      <c r="E227" s="37">
        <v>42583</v>
      </c>
      <c r="F227" t="s">
        <v>41</v>
      </c>
      <c r="G227">
        <v>4.5</v>
      </c>
      <c r="H227">
        <v>50</v>
      </c>
      <c r="I227">
        <v>23</v>
      </c>
      <c r="J227">
        <v>22</v>
      </c>
      <c r="K227">
        <v>4.5</v>
      </c>
      <c r="L227" t="s">
        <v>19</v>
      </c>
      <c r="M227">
        <v>2098.9</v>
      </c>
      <c r="N227">
        <v>297</v>
      </c>
      <c r="O227">
        <v>180</v>
      </c>
      <c r="P227">
        <v>1054.2</v>
      </c>
      <c r="Q227" s="5">
        <f t="shared" si="10"/>
        <v>0.40925501766372918</v>
      </c>
      <c r="R227" s="26">
        <f t="shared" si="11"/>
        <v>3630.1000000000004</v>
      </c>
      <c r="S227" s="27">
        <f t="shared" si="12"/>
        <v>4283.518</v>
      </c>
    </row>
    <row r="228" spans="1:19" x14ac:dyDescent="0.3">
      <c r="A228">
        <v>200010076</v>
      </c>
      <c r="B228" s="18">
        <v>273723367</v>
      </c>
      <c r="C228" s="22">
        <v>46251</v>
      </c>
      <c r="D228" s="19">
        <v>875160319601</v>
      </c>
      <c r="E228" s="37">
        <v>42591</v>
      </c>
      <c r="F228" t="s">
        <v>41</v>
      </c>
      <c r="G228">
        <v>6</v>
      </c>
      <c r="H228">
        <v>52</v>
      </c>
      <c r="I228">
        <v>26</v>
      </c>
      <c r="J228">
        <v>24</v>
      </c>
      <c r="K228">
        <v>6</v>
      </c>
      <c r="L228" t="s">
        <v>19</v>
      </c>
      <c r="M228">
        <v>2609.1</v>
      </c>
      <c r="N228">
        <v>396</v>
      </c>
      <c r="O228">
        <v>180</v>
      </c>
      <c r="P228">
        <v>1322.2</v>
      </c>
      <c r="Q228" s="5">
        <f t="shared" si="10"/>
        <v>0.41512040438290793</v>
      </c>
      <c r="R228" s="26">
        <f t="shared" si="11"/>
        <v>4507.3</v>
      </c>
      <c r="S228" s="27">
        <f t="shared" si="12"/>
        <v>5318.6139999999996</v>
      </c>
    </row>
    <row r="229" spans="1:19" x14ac:dyDescent="0.3">
      <c r="A229">
        <v>200010076</v>
      </c>
      <c r="B229" s="18">
        <v>273723367</v>
      </c>
      <c r="C229" s="22">
        <v>46251</v>
      </c>
      <c r="D229" s="19">
        <v>875160321792</v>
      </c>
      <c r="E229" s="37">
        <v>42603</v>
      </c>
      <c r="F229" t="s">
        <v>41</v>
      </c>
      <c r="G229">
        <v>5</v>
      </c>
      <c r="H229">
        <v>36</v>
      </c>
      <c r="I229">
        <v>28</v>
      </c>
      <c r="J229">
        <v>27</v>
      </c>
      <c r="K229">
        <v>5</v>
      </c>
      <c r="L229" t="s">
        <v>19</v>
      </c>
      <c r="M229">
        <v>2231.6999999999998</v>
      </c>
      <c r="N229">
        <v>330</v>
      </c>
      <c r="O229">
        <v>180</v>
      </c>
      <c r="P229">
        <v>1127.2</v>
      </c>
      <c r="Q229" s="5">
        <f t="shared" si="10"/>
        <v>0.41113177955283225</v>
      </c>
      <c r="R229" s="26">
        <f t="shared" si="11"/>
        <v>3868.8999999999996</v>
      </c>
      <c r="S229" s="27">
        <f t="shared" si="12"/>
        <v>4565.3019999999997</v>
      </c>
    </row>
    <row r="230" spans="1:19" x14ac:dyDescent="0.3">
      <c r="A230">
        <v>200010076</v>
      </c>
      <c r="B230" s="18">
        <v>273723367</v>
      </c>
      <c r="C230" s="22">
        <v>46251</v>
      </c>
      <c r="D230" s="19">
        <v>875160325890</v>
      </c>
      <c r="E230" s="37">
        <v>7871720</v>
      </c>
      <c r="F230" t="s">
        <v>41</v>
      </c>
      <c r="G230">
        <v>9.84</v>
      </c>
      <c r="H230">
        <v>49</v>
      </c>
      <c r="I230">
        <v>34</v>
      </c>
      <c r="J230">
        <v>20</v>
      </c>
      <c r="K230">
        <v>9.8000000000000007</v>
      </c>
      <c r="L230" t="s">
        <v>19</v>
      </c>
      <c r="M230">
        <v>3529.5</v>
      </c>
      <c r="N230">
        <v>660</v>
      </c>
      <c r="O230" s="8">
        <v>180</v>
      </c>
      <c r="P230" s="8">
        <v>1843.4</v>
      </c>
      <c r="Q230" s="5">
        <f t="shared" si="10"/>
        <v>0.42187893351642064</v>
      </c>
      <c r="R230" s="26">
        <f t="shared" si="11"/>
        <v>6212.9</v>
      </c>
      <c r="S230" s="27">
        <f t="shared" si="12"/>
        <v>7331.2219999999988</v>
      </c>
    </row>
    <row r="231" spans="1:19" x14ac:dyDescent="0.3">
      <c r="A231">
        <v>200010076</v>
      </c>
      <c r="B231" s="18">
        <v>273723367</v>
      </c>
      <c r="C231" s="22">
        <v>46251</v>
      </c>
      <c r="D231" s="19">
        <v>875160329874</v>
      </c>
      <c r="E231" s="37">
        <v>42637</v>
      </c>
      <c r="F231" t="s">
        <v>41</v>
      </c>
      <c r="G231">
        <v>2</v>
      </c>
      <c r="H231">
        <v>53</v>
      </c>
      <c r="I231">
        <v>15</v>
      </c>
      <c r="J231">
        <v>12</v>
      </c>
      <c r="K231">
        <v>2</v>
      </c>
      <c r="L231" t="s">
        <v>19</v>
      </c>
      <c r="M231">
        <v>1512.5</v>
      </c>
      <c r="N231">
        <v>132</v>
      </c>
      <c r="O231" s="8">
        <v>180</v>
      </c>
      <c r="P231" s="8">
        <v>723.6</v>
      </c>
      <c r="Q231" s="5">
        <f t="shared" si="10"/>
        <v>0.3966018087147164</v>
      </c>
      <c r="R231" s="26">
        <f t="shared" si="11"/>
        <v>2548.1</v>
      </c>
      <c r="S231" s="27">
        <f t="shared" si="12"/>
        <v>3006.7579999999998</v>
      </c>
    </row>
    <row r="232" spans="1:19" x14ac:dyDescent="0.3">
      <c r="A232">
        <v>200010076</v>
      </c>
      <c r="B232" s="18">
        <v>273723367</v>
      </c>
      <c r="C232" s="22">
        <v>46251</v>
      </c>
      <c r="D232" s="19">
        <v>875160334440</v>
      </c>
      <c r="E232" s="37">
        <v>42776</v>
      </c>
      <c r="F232" t="s">
        <v>41</v>
      </c>
      <c r="G232">
        <v>5</v>
      </c>
      <c r="H232">
        <v>53</v>
      </c>
      <c r="I232">
        <v>23</v>
      </c>
      <c r="J232">
        <v>22</v>
      </c>
      <c r="K232">
        <v>5</v>
      </c>
      <c r="L232" t="s">
        <v>19</v>
      </c>
      <c r="M232">
        <v>2231.6999999999998</v>
      </c>
      <c r="N232">
        <v>330</v>
      </c>
      <c r="O232" s="8">
        <v>180</v>
      </c>
      <c r="P232" s="8">
        <v>1127.2</v>
      </c>
      <c r="Q232" s="5">
        <f t="shared" si="10"/>
        <v>0.41113177955283225</v>
      </c>
      <c r="R232" s="26">
        <f t="shared" si="11"/>
        <v>3868.8999999999996</v>
      </c>
      <c r="S232" s="27">
        <f t="shared" si="12"/>
        <v>4565.3019999999997</v>
      </c>
    </row>
    <row r="233" spans="1:19" x14ac:dyDescent="0.3">
      <c r="A233">
        <v>200010076</v>
      </c>
      <c r="B233" s="18">
        <v>273723367</v>
      </c>
      <c r="C233" s="22">
        <v>46251</v>
      </c>
      <c r="D233" s="19">
        <v>875160338170</v>
      </c>
      <c r="E233" s="37">
        <v>42778</v>
      </c>
      <c r="F233" t="s">
        <v>41</v>
      </c>
      <c r="G233">
        <v>2.5</v>
      </c>
      <c r="H233">
        <v>58</v>
      </c>
      <c r="I233">
        <v>16</v>
      </c>
      <c r="J233">
        <v>13</v>
      </c>
      <c r="K233">
        <v>2.5</v>
      </c>
      <c r="L233" t="s">
        <v>19</v>
      </c>
      <c r="M233">
        <v>1671.3</v>
      </c>
      <c r="N233">
        <v>165</v>
      </c>
      <c r="O233" s="8">
        <v>180</v>
      </c>
      <c r="P233" s="8">
        <v>808</v>
      </c>
      <c r="Q233" s="5">
        <f t="shared" si="10"/>
        <v>0.40073401775529438</v>
      </c>
      <c r="R233" s="26">
        <f t="shared" si="11"/>
        <v>2824.3</v>
      </c>
      <c r="S233" s="27">
        <f t="shared" si="12"/>
        <v>3332.674</v>
      </c>
    </row>
    <row r="234" spans="1:19" x14ac:dyDescent="0.3">
      <c r="A234">
        <v>200010076</v>
      </c>
      <c r="B234" s="18">
        <v>273723367</v>
      </c>
      <c r="C234" s="22">
        <v>46251</v>
      </c>
      <c r="D234" s="19">
        <v>875160342816</v>
      </c>
      <c r="E234" s="37">
        <v>42851</v>
      </c>
      <c r="F234" t="s">
        <v>41</v>
      </c>
      <c r="G234">
        <v>13</v>
      </c>
      <c r="H234">
        <v>50</v>
      </c>
      <c r="I234">
        <v>39</v>
      </c>
      <c r="J234">
        <v>39</v>
      </c>
      <c r="K234">
        <v>13</v>
      </c>
      <c r="L234" t="s">
        <v>19</v>
      </c>
      <c r="M234">
        <v>5428.5</v>
      </c>
      <c r="N234">
        <v>858</v>
      </c>
      <c r="O234" s="8">
        <v>180</v>
      </c>
      <c r="P234">
        <v>2766.1</v>
      </c>
      <c r="Q234" s="5">
        <f t="shared" si="10"/>
        <v>0.4277584473826645</v>
      </c>
      <c r="R234" s="26">
        <f t="shared" si="11"/>
        <v>9232.6</v>
      </c>
      <c r="S234" s="27">
        <f t="shared" si="12"/>
        <v>10894.468000000001</v>
      </c>
    </row>
    <row r="235" spans="1:19" x14ac:dyDescent="0.3">
      <c r="A235">
        <v>200010076</v>
      </c>
      <c r="B235" s="18">
        <v>273723367</v>
      </c>
      <c r="C235" s="22">
        <v>46251</v>
      </c>
      <c r="D235" s="19">
        <v>875160346454</v>
      </c>
      <c r="E235" s="37">
        <v>42856</v>
      </c>
      <c r="F235" t="s">
        <v>41</v>
      </c>
      <c r="G235">
        <v>3</v>
      </c>
      <c r="H235">
        <v>37</v>
      </c>
      <c r="I235">
        <v>21</v>
      </c>
      <c r="J235">
        <v>20</v>
      </c>
      <c r="K235">
        <v>3</v>
      </c>
      <c r="L235" t="s">
        <v>19</v>
      </c>
      <c r="M235">
        <v>1700.6</v>
      </c>
      <c r="N235">
        <v>198</v>
      </c>
      <c r="O235" s="8">
        <v>180</v>
      </c>
      <c r="P235" s="8">
        <v>835.4</v>
      </c>
      <c r="Q235" s="5">
        <f t="shared" si="10"/>
        <v>0.40190512845184262</v>
      </c>
      <c r="R235" s="26">
        <f t="shared" si="11"/>
        <v>2914</v>
      </c>
      <c r="S235" s="27">
        <f t="shared" si="12"/>
        <v>3438.52</v>
      </c>
    </row>
    <row r="236" spans="1:19" x14ac:dyDescent="0.3">
      <c r="A236">
        <v>200010076</v>
      </c>
      <c r="B236" s="18">
        <v>273723367</v>
      </c>
      <c r="C236" s="22">
        <v>46251</v>
      </c>
      <c r="D236" s="19">
        <v>875160349626</v>
      </c>
      <c r="E236" s="37">
        <v>42865</v>
      </c>
      <c r="F236" t="s">
        <v>41</v>
      </c>
      <c r="G236">
        <v>13</v>
      </c>
      <c r="H236">
        <v>56</v>
      </c>
      <c r="I236">
        <v>37</v>
      </c>
      <c r="J236">
        <v>36</v>
      </c>
      <c r="K236">
        <v>13</v>
      </c>
      <c r="L236" t="s">
        <v>19</v>
      </c>
      <c r="M236">
        <v>5428.5</v>
      </c>
      <c r="N236">
        <v>858</v>
      </c>
      <c r="O236" s="8">
        <v>180</v>
      </c>
      <c r="P236" s="8">
        <v>2766.1</v>
      </c>
      <c r="Q236" s="5">
        <f t="shared" si="10"/>
        <v>0.4277584473826645</v>
      </c>
      <c r="R236" s="26">
        <f t="shared" si="11"/>
        <v>9232.6</v>
      </c>
      <c r="S236" s="27">
        <f t="shared" si="12"/>
        <v>10894.468000000001</v>
      </c>
    </row>
    <row r="237" spans="1:19" x14ac:dyDescent="0.3">
      <c r="A237">
        <v>200010076</v>
      </c>
      <c r="B237" s="18">
        <v>273723367</v>
      </c>
      <c r="C237" s="22">
        <v>46251</v>
      </c>
      <c r="D237" s="19">
        <v>875160357359</v>
      </c>
      <c r="E237" s="37">
        <v>42875</v>
      </c>
      <c r="F237" t="s">
        <v>41</v>
      </c>
      <c r="G237">
        <v>9</v>
      </c>
      <c r="H237">
        <v>62</v>
      </c>
      <c r="I237">
        <v>30</v>
      </c>
      <c r="J237">
        <v>28</v>
      </c>
      <c r="K237">
        <v>9</v>
      </c>
      <c r="L237" t="s">
        <v>19</v>
      </c>
      <c r="M237">
        <v>3299.4</v>
      </c>
      <c r="N237">
        <v>594</v>
      </c>
      <c r="O237" s="8">
        <v>180</v>
      </c>
      <c r="P237">
        <v>1713.1</v>
      </c>
      <c r="Q237" s="5">
        <f t="shared" si="10"/>
        <v>0.42055776501202924</v>
      </c>
      <c r="R237" s="26">
        <f t="shared" si="11"/>
        <v>5786.5</v>
      </c>
      <c r="S237" s="27">
        <f t="shared" si="12"/>
        <v>6828.07</v>
      </c>
    </row>
    <row r="238" spans="1:19" x14ac:dyDescent="0.3">
      <c r="A238">
        <v>200010076</v>
      </c>
      <c r="B238" s="18">
        <v>273723367</v>
      </c>
      <c r="C238" s="22">
        <v>46251</v>
      </c>
      <c r="D238" s="19">
        <v>875160365482</v>
      </c>
      <c r="E238" s="37">
        <v>42888</v>
      </c>
      <c r="F238" t="s">
        <v>41</v>
      </c>
      <c r="G238">
        <v>7</v>
      </c>
      <c r="H238">
        <v>59</v>
      </c>
      <c r="I238">
        <v>30</v>
      </c>
      <c r="J238">
        <v>30</v>
      </c>
      <c r="K238">
        <v>8.8000000000000007</v>
      </c>
      <c r="L238" t="s">
        <v>19</v>
      </c>
      <c r="M238">
        <v>3299.4</v>
      </c>
      <c r="N238">
        <v>594</v>
      </c>
      <c r="O238" s="8">
        <v>0</v>
      </c>
      <c r="P238">
        <v>1713.1</v>
      </c>
      <c r="Q238" s="5">
        <f t="shared" si="10"/>
        <v>0.44000102737966812</v>
      </c>
      <c r="R238" s="26">
        <f t="shared" si="11"/>
        <v>5606.5</v>
      </c>
      <c r="S238" s="27">
        <f t="shared" si="12"/>
        <v>6615.67</v>
      </c>
    </row>
    <row r="239" spans="1:19" x14ac:dyDescent="0.3">
      <c r="A239">
        <v>200010076</v>
      </c>
      <c r="B239" s="18">
        <v>273723367</v>
      </c>
      <c r="C239" s="22">
        <v>46251</v>
      </c>
      <c r="D239" s="19">
        <v>875160369606</v>
      </c>
      <c r="E239" s="37">
        <v>7871737</v>
      </c>
      <c r="F239" t="s">
        <v>41</v>
      </c>
      <c r="G239">
        <v>2.5</v>
      </c>
      <c r="H239">
        <v>51</v>
      </c>
      <c r="I239">
        <v>24</v>
      </c>
      <c r="J239">
        <v>10</v>
      </c>
      <c r="K239">
        <v>2.5</v>
      </c>
      <c r="L239" t="s">
        <v>19</v>
      </c>
      <c r="M239">
        <v>1671.3</v>
      </c>
      <c r="N239">
        <v>165</v>
      </c>
      <c r="O239" s="8">
        <v>180</v>
      </c>
      <c r="P239" s="8">
        <v>808</v>
      </c>
      <c r="Q239" s="5">
        <f t="shared" si="10"/>
        <v>0.40073401775529438</v>
      </c>
      <c r="R239" s="26">
        <f t="shared" si="11"/>
        <v>2824.3</v>
      </c>
      <c r="S239" s="27">
        <f t="shared" si="12"/>
        <v>3332.674</v>
      </c>
    </row>
    <row r="240" spans="1:19" x14ac:dyDescent="0.3">
      <c r="A240">
        <v>200010076</v>
      </c>
      <c r="B240" s="18">
        <v>273723367</v>
      </c>
      <c r="C240" s="22">
        <v>46251</v>
      </c>
      <c r="D240" s="19">
        <v>875160374260</v>
      </c>
      <c r="E240" s="37">
        <v>4117930339</v>
      </c>
      <c r="F240" t="s">
        <v>41</v>
      </c>
      <c r="G240">
        <v>8.5</v>
      </c>
      <c r="H240">
        <v>59</v>
      </c>
      <c r="I240">
        <v>29</v>
      </c>
      <c r="J240">
        <v>28</v>
      </c>
      <c r="K240">
        <v>8.5</v>
      </c>
      <c r="L240" t="s">
        <v>19</v>
      </c>
      <c r="M240">
        <v>3184.4</v>
      </c>
      <c r="N240">
        <v>561</v>
      </c>
      <c r="O240" s="8">
        <v>180</v>
      </c>
      <c r="P240" s="8">
        <v>1648</v>
      </c>
      <c r="Q240" s="5">
        <f t="shared" si="10"/>
        <v>0.41982982625974424</v>
      </c>
      <c r="R240" s="26">
        <f t="shared" si="11"/>
        <v>5573.4</v>
      </c>
      <c r="S240" s="27">
        <f t="shared" si="12"/>
        <v>6576.6119999999992</v>
      </c>
    </row>
    <row r="241" spans="1:19" x14ac:dyDescent="0.3">
      <c r="A241">
        <v>200010076</v>
      </c>
      <c r="B241" s="18">
        <v>273723367</v>
      </c>
      <c r="C241" s="22">
        <v>46251</v>
      </c>
      <c r="D241" s="19">
        <v>875160377203</v>
      </c>
      <c r="E241" s="37">
        <v>42966</v>
      </c>
      <c r="F241" t="s">
        <v>41</v>
      </c>
      <c r="G241">
        <v>10.5</v>
      </c>
      <c r="H241">
        <v>63</v>
      </c>
      <c r="I241">
        <v>32</v>
      </c>
      <c r="J241">
        <v>31</v>
      </c>
      <c r="K241">
        <v>10.5</v>
      </c>
      <c r="L241" t="s">
        <v>19</v>
      </c>
      <c r="M241">
        <v>4575.1000000000004</v>
      </c>
      <c r="N241">
        <v>693</v>
      </c>
      <c r="O241" s="8">
        <v>180</v>
      </c>
      <c r="P241" s="8">
        <v>2318</v>
      </c>
      <c r="Q241" s="5">
        <f t="shared" si="10"/>
        <v>0.42546942970943996</v>
      </c>
      <c r="R241" s="26">
        <f t="shared" si="11"/>
        <v>7766.1</v>
      </c>
      <c r="S241" s="27">
        <f t="shared" si="12"/>
        <v>9163.9979999999996</v>
      </c>
    </row>
    <row r="242" spans="1:19" x14ac:dyDescent="0.3">
      <c r="A242">
        <v>200010076</v>
      </c>
      <c r="B242" s="18">
        <v>273723367</v>
      </c>
      <c r="C242" s="22">
        <v>46251</v>
      </c>
      <c r="D242" s="19">
        <v>875160383448</v>
      </c>
      <c r="E242" s="37">
        <v>42967</v>
      </c>
      <c r="F242" t="s">
        <v>41</v>
      </c>
      <c r="G242">
        <v>5.5</v>
      </c>
      <c r="H242">
        <v>58</v>
      </c>
      <c r="I242">
        <v>23</v>
      </c>
      <c r="J242">
        <v>22</v>
      </c>
      <c r="K242">
        <v>5.5</v>
      </c>
      <c r="L242" t="s">
        <v>19</v>
      </c>
      <c r="M242">
        <v>2494</v>
      </c>
      <c r="N242">
        <v>363</v>
      </c>
      <c r="O242" s="8">
        <v>180</v>
      </c>
      <c r="P242" s="8">
        <v>1257.0999999999999</v>
      </c>
      <c r="Q242" s="5">
        <f t="shared" si="10"/>
        <v>0.41392821863681262</v>
      </c>
      <c r="R242" s="26">
        <f t="shared" si="11"/>
        <v>4294.1000000000004</v>
      </c>
      <c r="S242" s="27">
        <f t="shared" si="12"/>
        <v>5067.0380000000005</v>
      </c>
    </row>
    <row r="243" spans="1:19" x14ac:dyDescent="0.3">
      <c r="A243">
        <v>200010076</v>
      </c>
      <c r="B243" s="18">
        <v>273723367</v>
      </c>
      <c r="C243" s="22">
        <v>46251</v>
      </c>
      <c r="D243" s="19">
        <v>875160385245</v>
      </c>
      <c r="E243" s="37">
        <v>43017</v>
      </c>
      <c r="F243" t="s">
        <v>41</v>
      </c>
      <c r="G243">
        <v>2.36</v>
      </c>
      <c r="H243">
        <v>48</v>
      </c>
      <c r="I243">
        <v>23</v>
      </c>
      <c r="J243">
        <v>21</v>
      </c>
      <c r="K243">
        <v>3.9</v>
      </c>
      <c r="L243" t="s">
        <v>19</v>
      </c>
      <c r="M243">
        <v>1966.1</v>
      </c>
      <c r="N243">
        <v>264</v>
      </c>
      <c r="O243">
        <v>180</v>
      </c>
      <c r="P243">
        <v>981.2</v>
      </c>
      <c r="Q243" s="5">
        <f t="shared" si="10"/>
        <v>0.40712003651300777</v>
      </c>
      <c r="R243" s="26">
        <f t="shared" si="11"/>
        <v>3391.3</v>
      </c>
      <c r="S243" s="27">
        <f t="shared" si="12"/>
        <v>4001.7339999999999</v>
      </c>
    </row>
    <row r="244" spans="1:19" x14ac:dyDescent="0.3">
      <c r="A244">
        <v>200010076</v>
      </c>
      <c r="B244" s="18">
        <v>273723367</v>
      </c>
      <c r="C244" s="22">
        <v>46251</v>
      </c>
      <c r="D244" s="19">
        <v>875160390520</v>
      </c>
      <c r="E244" s="37">
        <v>4117617622</v>
      </c>
      <c r="F244" t="s">
        <v>41</v>
      </c>
      <c r="G244">
        <v>5.5</v>
      </c>
      <c r="H244">
        <v>46</v>
      </c>
      <c r="I244">
        <v>26</v>
      </c>
      <c r="J244">
        <v>26</v>
      </c>
      <c r="K244">
        <v>5.5</v>
      </c>
      <c r="L244" t="s">
        <v>19</v>
      </c>
      <c r="M244">
        <v>2494</v>
      </c>
      <c r="N244">
        <v>363</v>
      </c>
      <c r="O244" s="8">
        <v>180</v>
      </c>
      <c r="P244" s="8">
        <v>1257.0999999999999</v>
      </c>
      <c r="Q244" s="5">
        <f t="shared" si="10"/>
        <v>0.41392821863681262</v>
      </c>
      <c r="R244" s="26">
        <f t="shared" si="11"/>
        <v>4294.1000000000004</v>
      </c>
      <c r="S244" s="27">
        <f t="shared" si="12"/>
        <v>5067.0380000000005</v>
      </c>
    </row>
    <row r="245" spans="1:19" x14ac:dyDescent="0.3">
      <c r="A245">
        <v>200010076</v>
      </c>
      <c r="B245" s="18">
        <v>273723367</v>
      </c>
      <c r="C245" s="22">
        <v>46251</v>
      </c>
      <c r="D245" s="19">
        <v>875160393379</v>
      </c>
      <c r="E245" s="37">
        <v>4117695946</v>
      </c>
      <c r="F245" t="s">
        <v>41</v>
      </c>
      <c r="G245">
        <v>4.5</v>
      </c>
      <c r="H245">
        <v>56</v>
      </c>
      <c r="I245">
        <v>22</v>
      </c>
      <c r="J245">
        <v>21</v>
      </c>
      <c r="K245">
        <v>4.5</v>
      </c>
      <c r="L245" t="s">
        <v>19</v>
      </c>
      <c r="M245">
        <v>2098.9</v>
      </c>
      <c r="N245">
        <v>297</v>
      </c>
      <c r="O245">
        <v>180</v>
      </c>
      <c r="P245" s="8">
        <v>1054.2</v>
      </c>
      <c r="Q245" s="5">
        <f t="shared" si="10"/>
        <v>0.40925501766372918</v>
      </c>
      <c r="R245" s="26">
        <f t="shared" si="11"/>
        <v>3630.1000000000004</v>
      </c>
      <c r="S245" s="27">
        <f t="shared" si="12"/>
        <v>4283.518</v>
      </c>
    </row>
    <row r="246" spans="1:19" x14ac:dyDescent="0.3">
      <c r="A246">
        <v>200010076</v>
      </c>
      <c r="B246" s="18">
        <v>273723367</v>
      </c>
      <c r="C246" s="22">
        <v>46251</v>
      </c>
      <c r="D246" s="19">
        <v>875160398646</v>
      </c>
      <c r="E246" s="37">
        <v>7871748</v>
      </c>
      <c r="F246" t="s">
        <v>41</v>
      </c>
      <c r="G246">
        <v>4</v>
      </c>
      <c r="H246">
        <v>38</v>
      </c>
      <c r="I246">
        <v>28</v>
      </c>
      <c r="J246">
        <v>18</v>
      </c>
      <c r="K246">
        <v>4</v>
      </c>
      <c r="L246" t="s">
        <v>19</v>
      </c>
      <c r="M246">
        <v>1966.1</v>
      </c>
      <c r="N246">
        <v>264</v>
      </c>
      <c r="O246">
        <v>180</v>
      </c>
      <c r="P246" s="8">
        <v>981.2</v>
      </c>
      <c r="Q246" s="5">
        <f t="shared" si="10"/>
        <v>0.40712003651300777</v>
      </c>
      <c r="R246" s="26">
        <f t="shared" si="11"/>
        <v>3391.3</v>
      </c>
      <c r="S246" s="27">
        <f t="shared" si="12"/>
        <v>4001.7339999999999</v>
      </c>
    </row>
    <row r="247" spans="1:19" x14ac:dyDescent="0.3">
      <c r="A247">
        <v>200010076</v>
      </c>
      <c r="B247" s="18">
        <v>273723367</v>
      </c>
      <c r="C247" s="22">
        <v>46251</v>
      </c>
      <c r="D247" s="19">
        <v>875160404450</v>
      </c>
      <c r="E247" s="37">
        <v>43058</v>
      </c>
      <c r="F247" t="s">
        <v>41</v>
      </c>
      <c r="G247">
        <v>4.5</v>
      </c>
      <c r="H247">
        <v>50</v>
      </c>
      <c r="I247">
        <v>22</v>
      </c>
      <c r="J247">
        <v>21</v>
      </c>
      <c r="K247">
        <v>4.5</v>
      </c>
      <c r="L247" t="s">
        <v>19</v>
      </c>
      <c r="M247">
        <v>2098.9</v>
      </c>
      <c r="N247">
        <v>297</v>
      </c>
      <c r="O247">
        <v>180</v>
      </c>
      <c r="P247" s="8">
        <v>1054.2</v>
      </c>
      <c r="Q247" s="5">
        <f t="shared" si="10"/>
        <v>0.40925501766372918</v>
      </c>
      <c r="R247" s="26">
        <f t="shared" si="11"/>
        <v>3630.1000000000004</v>
      </c>
      <c r="S247" s="27">
        <f t="shared" si="12"/>
        <v>4283.518</v>
      </c>
    </row>
    <row r="248" spans="1:19" x14ac:dyDescent="0.3">
      <c r="A248">
        <v>200010076</v>
      </c>
      <c r="B248" s="18">
        <v>273723367</v>
      </c>
      <c r="C248" s="22">
        <v>46251</v>
      </c>
      <c r="D248" s="19">
        <v>875160409636</v>
      </c>
      <c r="E248" s="37">
        <v>43078</v>
      </c>
      <c r="F248" t="s">
        <v>41</v>
      </c>
      <c r="G248">
        <v>11</v>
      </c>
      <c r="H248">
        <v>92</v>
      </c>
      <c r="I248">
        <v>26</v>
      </c>
      <c r="J248">
        <v>26</v>
      </c>
      <c r="K248">
        <v>11</v>
      </c>
      <c r="L248" t="s">
        <v>19</v>
      </c>
      <c r="M248">
        <v>4745.8</v>
      </c>
      <c r="N248">
        <v>726</v>
      </c>
      <c r="O248">
        <v>180</v>
      </c>
      <c r="P248" s="8">
        <v>2407.6</v>
      </c>
      <c r="Q248" s="5">
        <f t="shared" si="10"/>
        <v>0.42598818075657308</v>
      </c>
      <c r="R248" s="26">
        <f t="shared" si="11"/>
        <v>8059.4</v>
      </c>
      <c r="S248" s="27">
        <f t="shared" si="12"/>
        <v>9510.0919999999987</v>
      </c>
    </row>
    <row r="249" spans="1:19" x14ac:dyDescent="0.3">
      <c r="A249">
        <v>200010076</v>
      </c>
      <c r="B249" s="18">
        <v>273723367</v>
      </c>
      <c r="C249" s="22">
        <v>46251</v>
      </c>
      <c r="D249" s="19">
        <v>875160414234</v>
      </c>
      <c r="E249" s="37">
        <v>43089</v>
      </c>
      <c r="F249" t="s">
        <v>41</v>
      </c>
      <c r="G249">
        <v>3.5</v>
      </c>
      <c r="H249">
        <v>38</v>
      </c>
      <c r="I249">
        <v>23</v>
      </c>
      <c r="J249">
        <v>22</v>
      </c>
      <c r="K249">
        <v>3.5</v>
      </c>
      <c r="L249" t="s">
        <v>19</v>
      </c>
      <c r="M249">
        <v>1833.3</v>
      </c>
      <c r="N249">
        <v>231</v>
      </c>
      <c r="O249">
        <v>180</v>
      </c>
      <c r="P249">
        <v>908.3</v>
      </c>
      <c r="Q249" s="5">
        <f t="shared" si="10"/>
        <v>0.40471416477298039</v>
      </c>
      <c r="R249" s="26">
        <f t="shared" si="11"/>
        <v>3152.6000000000004</v>
      </c>
      <c r="S249" s="27">
        <f t="shared" si="12"/>
        <v>3720.0680000000002</v>
      </c>
    </row>
    <row r="250" spans="1:19" x14ac:dyDescent="0.3">
      <c r="A250">
        <v>200010076</v>
      </c>
      <c r="B250" s="18">
        <v>273723367</v>
      </c>
      <c r="C250" s="22">
        <v>46251</v>
      </c>
      <c r="D250" s="19">
        <v>875160417895</v>
      </c>
      <c r="E250" s="37">
        <v>43098</v>
      </c>
      <c r="F250" t="s">
        <v>41</v>
      </c>
      <c r="G250">
        <v>5.5</v>
      </c>
      <c r="H250">
        <v>52</v>
      </c>
      <c r="I250">
        <v>25</v>
      </c>
      <c r="J250">
        <v>25</v>
      </c>
      <c r="K250">
        <v>5.5</v>
      </c>
      <c r="L250" t="s">
        <v>19</v>
      </c>
      <c r="M250">
        <v>2494</v>
      </c>
      <c r="N250">
        <v>363</v>
      </c>
      <c r="O250">
        <v>180</v>
      </c>
      <c r="P250" s="8">
        <v>1257.0999999999999</v>
      </c>
      <c r="Q250" s="5">
        <f t="shared" si="10"/>
        <v>0.41392821863681262</v>
      </c>
      <c r="R250" s="26">
        <f t="shared" si="11"/>
        <v>4294.1000000000004</v>
      </c>
      <c r="S250" s="27">
        <f t="shared" si="12"/>
        <v>5067.0380000000005</v>
      </c>
    </row>
    <row r="251" spans="1:19" x14ac:dyDescent="0.3">
      <c r="A251">
        <v>200010076</v>
      </c>
      <c r="B251" s="18">
        <v>273723367</v>
      </c>
      <c r="C251" s="22">
        <v>46251</v>
      </c>
      <c r="D251" s="19">
        <v>875160420527</v>
      </c>
      <c r="E251" s="37">
        <v>43104</v>
      </c>
      <c r="F251" t="s">
        <v>41</v>
      </c>
      <c r="G251">
        <v>9</v>
      </c>
      <c r="H251">
        <v>65</v>
      </c>
      <c r="I251">
        <v>29</v>
      </c>
      <c r="J251">
        <v>27</v>
      </c>
      <c r="K251">
        <v>9</v>
      </c>
      <c r="L251" t="s">
        <v>19</v>
      </c>
      <c r="M251">
        <v>3299.4</v>
      </c>
      <c r="N251">
        <v>594</v>
      </c>
      <c r="O251">
        <v>180</v>
      </c>
      <c r="P251" s="8">
        <v>1713.1</v>
      </c>
      <c r="Q251" s="5">
        <f t="shared" si="10"/>
        <v>0.42055776501202924</v>
      </c>
      <c r="R251" s="26">
        <f t="shared" si="11"/>
        <v>5786.5</v>
      </c>
      <c r="S251" s="27">
        <f t="shared" si="12"/>
        <v>6828.07</v>
      </c>
    </row>
    <row r="252" spans="1:19" x14ac:dyDescent="0.3">
      <c r="A252">
        <v>200010076</v>
      </c>
      <c r="B252" s="18">
        <v>273723367</v>
      </c>
      <c r="C252" s="22">
        <v>46251</v>
      </c>
      <c r="D252" s="19">
        <v>875160429465</v>
      </c>
      <c r="E252" s="37">
        <v>43131</v>
      </c>
      <c r="F252" t="s">
        <v>41</v>
      </c>
      <c r="G252">
        <v>6</v>
      </c>
      <c r="H252">
        <v>62</v>
      </c>
      <c r="I252">
        <v>24</v>
      </c>
      <c r="J252">
        <v>23</v>
      </c>
      <c r="K252">
        <v>6</v>
      </c>
      <c r="L252" t="s">
        <v>19</v>
      </c>
      <c r="M252">
        <v>2609.1</v>
      </c>
      <c r="N252">
        <v>396</v>
      </c>
      <c r="O252">
        <v>180</v>
      </c>
      <c r="P252">
        <v>1322.2</v>
      </c>
      <c r="Q252" s="5">
        <f t="shared" si="10"/>
        <v>0.41512040438290793</v>
      </c>
      <c r="R252" s="26">
        <f t="shared" si="11"/>
        <v>4507.3</v>
      </c>
      <c r="S252" s="27">
        <f t="shared" si="12"/>
        <v>5318.6139999999996</v>
      </c>
    </row>
    <row r="253" spans="1:19" x14ac:dyDescent="0.3">
      <c r="A253">
        <v>200010076</v>
      </c>
      <c r="B253" s="18">
        <v>273723367</v>
      </c>
      <c r="C253" s="22">
        <v>46251</v>
      </c>
      <c r="D253" s="19">
        <v>875160436033</v>
      </c>
      <c r="E253" s="37">
        <v>43139</v>
      </c>
      <c r="F253" t="s">
        <v>41</v>
      </c>
      <c r="G253">
        <v>1.5</v>
      </c>
      <c r="H253">
        <v>45</v>
      </c>
      <c r="I253">
        <v>15</v>
      </c>
      <c r="J253">
        <v>13</v>
      </c>
      <c r="K253">
        <v>1.5</v>
      </c>
      <c r="L253" t="s">
        <v>19</v>
      </c>
      <c r="M253">
        <v>1353.7</v>
      </c>
      <c r="N253">
        <v>99</v>
      </c>
      <c r="O253">
        <v>180</v>
      </c>
      <c r="P253" s="8">
        <v>639.20000000000005</v>
      </c>
      <c r="Q253" s="5">
        <f t="shared" si="10"/>
        <v>0.39149874441109822</v>
      </c>
      <c r="R253" s="26">
        <f t="shared" si="11"/>
        <v>2271.9</v>
      </c>
      <c r="S253" s="27">
        <f t="shared" si="12"/>
        <v>2680.8420000000001</v>
      </c>
    </row>
    <row r="254" spans="1:19" x14ac:dyDescent="0.3">
      <c r="A254">
        <v>200010076</v>
      </c>
      <c r="B254" s="18">
        <v>273723367</v>
      </c>
      <c r="C254" s="22">
        <v>46251</v>
      </c>
      <c r="D254" s="19">
        <v>875160446939</v>
      </c>
      <c r="E254" s="37">
        <v>43192</v>
      </c>
      <c r="F254" t="s">
        <v>41</v>
      </c>
      <c r="G254">
        <v>1.5</v>
      </c>
      <c r="H254">
        <v>38</v>
      </c>
      <c r="I254">
        <v>15</v>
      </c>
      <c r="J254">
        <v>15</v>
      </c>
      <c r="K254">
        <v>1.5</v>
      </c>
      <c r="L254" t="s">
        <v>19</v>
      </c>
      <c r="M254">
        <v>1353.7</v>
      </c>
      <c r="N254">
        <v>99</v>
      </c>
      <c r="O254">
        <v>180</v>
      </c>
      <c r="P254" s="8">
        <v>639.20000000000005</v>
      </c>
      <c r="Q254" s="5">
        <f t="shared" si="10"/>
        <v>0.39149874441109822</v>
      </c>
      <c r="R254" s="26">
        <f t="shared" si="11"/>
        <v>2271.9</v>
      </c>
      <c r="S254" s="27">
        <f t="shared" si="12"/>
        <v>2680.8420000000001</v>
      </c>
    </row>
    <row r="255" spans="1:19" x14ac:dyDescent="0.3">
      <c r="A255">
        <v>200010076</v>
      </c>
      <c r="B255" s="18">
        <v>273723367</v>
      </c>
      <c r="C255" s="22">
        <v>46251</v>
      </c>
      <c r="D255" s="19">
        <v>875160448129</v>
      </c>
      <c r="E255" s="37">
        <v>43218</v>
      </c>
      <c r="F255" t="s">
        <v>41</v>
      </c>
      <c r="G255">
        <v>4.5</v>
      </c>
      <c r="H255">
        <v>42</v>
      </c>
      <c r="I255">
        <v>25</v>
      </c>
      <c r="J255">
        <v>23</v>
      </c>
      <c r="K255">
        <v>4.5</v>
      </c>
      <c r="L255" t="s">
        <v>19</v>
      </c>
      <c r="M255">
        <v>2098.9</v>
      </c>
      <c r="N255">
        <v>297</v>
      </c>
      <c r="O255">
        <v>180</v>
      </c>
      <c r="P255">
        <v>1054.2</v>
      </c>
      <c r="Q255" s="5">
        <f t="shared" si="10"/>
        <v>0.40925501766372918</v>
      </c>
      <c r="R255" s="26">
        <f t="shared" si="11"/>
        <v>3630.1000000000004</v>
      </c>
      <c r="S255" s="27">
        <f t="shared" si="12"/>
        <v>4283.518</v>
      </c>
    </row>
    <row r="256" spans="1:19" x14ac:dyDescent="0.3">
      <c r="A256">
        <v>200010076</v>
      </c>
      <c r="B256" s="18">
        <v>273723367</v>
      </c>
      <c r="C256" s="22">
        <v>46251</v>
      </c>
      <c r="D256" s="19">
        <v>875160459549</v>
      </c>
      <c r="E256" s="37">
        <v>43229</v>
      </c>
      <c r="F256" t="s">
        <v>41</v>
      </c>
      <c r="G256">
        <v>0.73</v>
      </c>
      <c r="H256">
        <v>35</v>
      </c>
      <c r="I256">
        <v>27</v>
      </c>
      <c r="J256">
        <v>14</v>
      </c>
      <c r="K256">
        <v>2.2000000000000002</v>
      </c>
      <c r="L256" t="s">
        <v>19</v>
      </c>
      <c r="M256">
        <v>1671.3</v>
      </c>
      <c r="N256">
        <v>165</v>
      </c>
      <c r="O256" s="8">
        <v>180</v>
      </c>
      <c r="P256" s="8">
        <v>808</v>
      </c>
      <c r="Q256" s="5">
        <f t="shared" si="10"/>
        <v>0.40073401775529438</v>
      </c>
      <c r="R256" s="26">
        <f t="shared" si="11"/>
        <v>2824.3</v>
      </c>
      <c r="S256" s="27">
        <f t="shared" si="12"/>
        <v>3332.674</v>
      </c>
    </row>
    <row r="257" spans="1:19" x14ac:dyDescent="0.3">
      <c r="A257">
        <v>200010076</v>
      </c>
      <c r="B257" s="18">
        <v>273723367</v>
      </c>
      <c r="C257" s="22">
        <v>46251</v>
      </c>
      <c r="D257" s="19">
        <v>875160466389</v>
      </c>
      <c r="E257" s="37">
        <v>43233</v>
      </c>
      <c r="F257" t="s">
        <v>41</v>
      </c>
      <c r="G257">
        <v>2.5</v>
      </c>
      <c r="H257">
        <v>53</v>
      </c>
      <c r="I257">
        <v>17</v>
      </c>
      <c r="J257">
        <v>14</v>
      </c>
      <c r="K257">
        <v>2.5</v>
      </c>
      <c r="L257" t="s">
        <v>19</v>
      </c>
      <c r="M257">
        <v>1671.3</v>
      </c>
      <c r="N257">
        <v>165</v>
      </c>
      <c r="O257" s="8">
        <v>180</v>
      </c>
      <c r="P257" s="8">
        <v>808</v>
      </c>
      <c r="Q257" s="5">
        <f t="shared" si="10"/>
        <v>0.40073401775529438</v>
      </c>
      <c r="R257" s="26">
        <f t="shared" si="11"/>
        <v>2824.3</v>
      </c>
      <c r="S257" s="27">
        <f t="shared" si="12"/>
        <v>3332.674</v>
      </c>
    </row>
    <row r="258" spans="1:19" x14ac:dyDescent="0.3">
      <c r="A258">
        <v>200010076</v>
      </c>
      <c r="B258" s="18">
        <v>273723367</v>
      </c>
      <c r="C258" s="22">
        <v>46251</v>
      </c>
      <c r="D258" s="19">
        <v>875160472980</v>
      </c>
      <c r="E258" s="37">
        <v>43290</v>
      </c>
      <c r="F258" t="s">
        <v>41</v>
      </c>
      <c r="G258">
        <v>4</v>
      </c>
      <c r="H258">
        <v>54</v>
      </c>
      <c r="I258">
        <v>21</v>
      </c>
      <c r="J258">
        <v>19</v>
      </c>
      <c r="K258">
        <v>4</v>
      </c>
      <c r="L258" t="s">
        <v>19</v>
      </c>
      <c r="M258">
        <v>1966.1</v>
      </c>
      <c r="N258">
        <v>264</v>
      </c>
      <c r="O258">
        <v>180</v>
      </c>
      <c r="P258">
        <v>981.2</v>
      </c>
      <c r="Q258" s="5">
        <f t="shared" si="10"/>
        <v>0.40712003651300777</v>
      </c>
      <c r="R258" s="26">
        <f t="shared" si="11"/>
        <v>3391.3</v>
      </c>
      <c r="S258" s="27">
        <f t="shared" si="12"/>
        <v>4001.7339999999999</v>
      </c>
    </row>
    <row r="259" spans="1:19" x14ac:dyDescent="0.3">
      <c r="A259">
        <v>200010076</v>
      </c>
      <c r="B259" s="18">
        <v>273723367</v>
      </c>
      <c r="C259" s="22">
        <v>46251</v>
      </c>
      <c r="D259" s="19">
        <v>875160478500</v>
      </c>
      <c r="E259" s="37">
        <v>43313</v>
      </c>
      <c r="F259" t="s">
        <v>41</v>
      </c>
      <c r="G259">
        <v>6</v>
      </c>
      <c r="H259">
        <v>60</v>
      </c>
      <c r="I259">
        <v>24</v>
      </c>
      <c r="J259">
        <v>24</v>
      </c>
      <c r="K259">
        <v>6</v>
      </c>
      <c r="L259" t="s">
        <v>19</v>
      </c>
      <c r="M259">
        <v>2609.1</v>
      </c>
      <c r="N259">
        <v>396</v>
      </c>
      <c r="O259" s="8">
        <v>180</v>
      </c>
      <c r="P259" s="8">
        <v>1322.2</v>
      </c>
      <c r="Q259" s="5">
        <f t="shared" si="10"/>
        <v>0.41512040438290793</v>
      </c>
      <c r="R259" s="26">
        <f t="shared" si="11"/>
        <v>4507.3</v>
      </c>
      <c r="S259" s="27">
        <f t="shared" si="12"/>
        <v>5318.6139999999996</v>
      </c>
    </row>
    <row r="260" spans="1:19" x14ac:dyDescent="0.3">
      <c r="A260">
        <v>200010076</v>
      </c>
      <c r="B260" s="18">
        <v>273723367</v>
      </c>
      <c r="C260" s="22">
        <v>46251</v>
      </c>
      <c r="D260" s="19">
        <v>875160484116</v>
      </c>
      <c r="E260" s="37">
        <v>43319</v>
      </c>
      <c r="F260" t="s">
        <v>41</v>
      </c>
      <c r="G260">
        <v>5.5</v>
      </c>
      <c r="H260">
        <v>75</v>
      </c>
      <c r="I260">
        <v>21</v>
      </c>
      <c r="J260">
        <v>20</v>
      </c>
      <c r="K260">
        <v>5.5</v>
      </c>
      <c r="L260" t="s">
        <v>19</v>
      </c>
      <c r="M260">
        <v>2494</v>
      </c>
      <c r="N260">
        <v>363</v>
      </c>
      <c r="O260" s="8">
        <v>180</v>
      </c>
      <c r="P260" s="8">
        <v>1257.0999999999999</v>
      </c>
      <c r="Q260" s="5">
        <f t="shared" si="10"/>
        <v>0.41392821863681262</v>
      </c>
      <c r="R260" s="26">
        <f t="shared" si="11"/>
        <v>4294.1000000000004</v>
      </c>
      <c r="S260" s="27">
        <f t="shared" si="12"/>
        <v>5067.0380000000005</v>
      </c>
    </row>
    <row r="261" spans="1:19" x14ac:dyDescent="0.3">
      <c r="A261">
        <v>200010076</v>
      </c>
      <c r="B261" s="18">
        <v>273723367</v>
      </c>
      <c r="C261" s="22">
        <v>46251</v>
      </c>
      <c r="D261" s="19">
        <v>875160486601</v>
      </c>
      <c r="E261" s="37">
        <v>7871803</v>
      </c>
      <c r="F261" t="s">
        <v>41</v>
      </c>
      <c r="G261">
        <v>2.9</v>
      </c>
      <c r="H261">
        <v>31</v>
      </c>
      <c r="I261">
        <v>26</v>
      </c>
      <c r="J261">
        <v>11</v>
      </c>
      <c r="K261">
        <v>2.9</v>
      </c>
      <c r="L261" t="s">
        <v>19</v>
      </c>
      <c r="M261">
        <v>1700.6</v>
      </c>
      <c r="N261">
        <v>198</v>
      </c>
      <c r="O261">
        <v>180</v>
      </c>
      <c r="P261">
        <v>835.4</v>
      </c>
      <c r="Q261" s="5">
        <f t="shared" ref="Q261:Q324" si="13">+P261/SUM(M261:O261)</f>
        <v>0.40190512845184262</v>
      </c>
      <c r="R261" s="26">
        <f t="shared" ref="R261:R324" si="14">SUM(M261:P261)</f>
        <v>2914</v>
      </c>
      <c r="S261" s="27">
        <f t="shared" ref="S261:S324" si="15">+R261*1.18</f>
        <v>3438.52</v>
      </c>
    </row>
    <row r="262" spans="1:19" x14ac:dyDescent="0.3">
      <c r="A262">
        <v>200010076</v>
      </c>
      <c r="B262" s="18">
        <v>273723367</v>
      </c>
      <c r="C262" s="22">
        <v>46251</v>
      </c>
      <c r="D262" s="19">
        <v>875160491004</v>
      </c>
      <c r="E262" s="37">
        <v>43376</v>
      </c>
      <c r="F262" t="s">
        <v>41</v>
      </c>
      <c r="G262">
        <v>4</v>
      </c>
      <c r="H262">
        <v>56</v>
      </c>
      <c r="I262">
        <v>20</v>
      </c>
      <c r="J262">
        <v>20</v>
      </c>
      <c r="K262">
        <v>4</v>
      </c>
      <c r="L262" t="s">
        <v>19</v>
      </c>
      <c r="M262">
        <v>1966.1</v>
      </c>
      <c r="N262">
        <v>264</v>
      </c>
      <c r="O262">
        <v>180</v>
      </c>
      <c r="P262" s="8">
        <v>981.2</v>
      </c>
      <c r="Q262" s="5">
        <f t="shared" si="13"/>
        <v>0.40712003651300777</v>
      </c>
      <c r="R262" s="26">
        <f t="shared" si="14"/>
        <v>3391.3</v>
      </c>
      <c r="S262" s="27">
        <f t="shared" si="15"/>
        <v>4001.7339999999999</v>
      </c>
    </row>
    <row r="263" spans="1:19" x14ac:dyDescent="0.3">
      <c r="A263">
        <v>200010076</v>
      </c>
      <c r="B263" s="18">
        <v>273723367</v>
      </c>
      <c r="C263" s="22">
        <v>46251</v>
      </c>
      <c r="D263" s="19">
        <v>875160494860</v>
      </c>
      <c r="E263" s="37">
        <v>43389</v>
      </c>
      <c r="F263" t="s">
        <v>41</v>
      </c>
      <c r="G263">
        <v>4</v>
      </c>
      <c r="H263">
        <v>50</v>
      </c>
      <c r="I263">
        <v>22</v>
      </c>
      <c r="J263">
        <v>20</v>
      </c>
      <c r="K263">
        <v>4</v>
      </c>
      <c r="L263" t="s">
        <v>19</v>
      </c>
      <c r="M263">
        <v>1966.1</v>
      </c>
      <c r="N263">
        <v>264</v>
      </c>
      <c r="O263">
        <v>180</v>
      </c>
      <c r="P263">
        <v>981.2</v>
      </c>
      <c r="Q263" s="5">
        <f t="shared" si="13"/>
        <v>0.40712003651300777</v>
      </c>
      <c r="R263" s="26">
        <f t="shared" si="14"/>
        <v>3391.3</v>
      </c>
      <c r="S263" s="27">
        <f t="shared" si="15"/>
        <v>4001.7339999999999</v>
      </c>
    </row>
    <row r="264" spans="1:19" x14ac:dyDescent="0.3">
      <c r="A264">
        <v>200010076</v>
      </c>
      <c r="B264" s="18">
        <v>273723367</v>
      </c>
      <c r="C264" s="22">
        <v>46251</v>
      </c>
      <c r="D264" s="19">
        <v>875160498226</v>
      </c>
      <c r="E264" s="37">
        <v>43419</v>
      </c>
      <c r="F264" t="s">
        <v>41</v>
      </c>
      <c r="G264">
        <v>4</v>
      </c>
      <c r="H264">
        <v>40</v>
      </c>
      <c r="I264">
        <v>25</v>
      </c>
      <c r="J264">
        <v>23</v>
      </c>
      <c r="K264">
        <v>4</v>
      </c>
      <c r="L264" t="s">
        <v>19</v>
      </c>
      <c r="M264">
        <v>1966.1</v>
      </c>
      <c r="N264">
        <v>264</v>
      </c>
      <c r="O264">
        <v>180</v>
      </c>
      <c r="P264">
        <v>981.2</v>
      </c>
      <c r="Q264" s="5">
        <f t="shared" si="13"/>
        <v>0.40712003651300777</v>
      </c>
      <c r="R264" s="26">
        <f t="shared" si="14"/>
        <v>3391.3</v>
      </c>
      <c r="S264" s="27">
        <f t="shared" si="15"/>
        <v>4001.7339999999999</v>
      </c>
    </row>
    <row r="265" spans="1:19" x14ac:dyDescent="0.3">
      <c r="A265">
        <v>200010076</v>
      </c>
      <c r="B265" s="18">
        <v>273723367</v>
      </c>
      <c r="C265" s="22">
        <v>46251</v>
      </c>
      <c r="D265" s="19">
        <v>875160504420</v>
      </c>
      <c r="E265" s="37">
        <v>43488</v>
      </c>
      <c r="F265" t="s">
        <v>41</v>
      </c>
      <c r="G265">
        <v>19.5</v>
      </c>
      <c r="H265">
        <v>100</v>
      </c>
      <c r="I265">
        <v>34</v>
      </c>
      <c r="J265">
        <v>33</v>
      </c>
      <c r="K265">
        <v>19.5</v>
      </c>
      <c r="L265" t="s">
        <v>19</v>
      </c>
      <c r="M265">
        <v>7647.5</v>
      </c>
      <c r="N265">
        <v>1287</v>
      </c>
      <c r="O265">
        <v>180</v>
      </c>
      <c r="P265" s="8">
        <v>3931.2</v>
      </c>
      <c r="Q265" s="5">
        <f t="shared" si="13"/>
        <v>0.43131274343079706</v>
      </c>
      <c r="R265" s="26">
        <f t="shared" si="14"/>
        <v>13045.7</v>
      </c>
      <c r="S265" s="27">
        <f t="shared" si="15"/>
        <v>15393.925999999999</v>
      </c>
    </row>
    <row r="266" spans="1:19" x14ac:dyDescent="0.3">
      <c r="A266">
        <v>200010076</v>
      </c>
      <c r="B266" s="18">
        <v>273723367</v>
      </c>
      <c r="C266" s="22">
        <v>46251</v>
      </c>
      <c r="D266" s="19">
        <v>875160509400</v>
      </c>
      <c r="E266" s="37">
        <v>43505</v>
      </c>
      <c r="F266" t="s">
        <v>41</v>
      </c>
      <c r="G266">
        <v>7</v>
      </c>
      <c r="H266">
        <v>66</v>
      </c>
      <c r="I266">
        <v>25</v>
      </c>
      <c r="J266">
        <v>24</v>
      </c>
      <c r="K266">
        <v>7</v>
      </c>
      <c r="L266" t="s">
        <v>19</v>
      </c>
      <c r="M266">
        <v>2839.2</v>
      </c>
      <c r="N266">
        <v>462</v>
      </c>
      <c r="O266">
        <v>180</v>
      </c>
      <c r="P266" s="8">
        <v>1452.5</v>
      </c>
      <c r="Q266" s="5">
        <f t="shared" si="13"/>
        <v>0.41724118120188441</v>
      </c>
      <c r="R266" s="26">
        <f t="shared" si="14"/>
        <v>4933.7</v>
      </c>
      <c r="S266" s="27">
        <f t="shared" si="15"/>
        <v>5821.7659999999996</v>
      </c>
    </row>
    <row r="267" spans="1:19" x14ac:dyDescent="0.3">
      <c r="A267">
        <v>200010076</v>
      </c>
      <c r="B267" s="18">
        <v>273723367</v>
      </c>
      <c r="C267" s="22">
        <v>46251</v>
      </c>
      <c r="D267" s="19">
        <v>875160514568</v>
      </c>
      <c r="E267" s="37">
        <v>43517</v>
      </c>
      <c r="F267" t="s">
        <v>41</v>
      </c>
      <c r="G267">
        <v>9.5</v>
      </c>
      <c r="H267">
        <v>55</v>
      </c>
      <c r="I267">
        <v>32</v>
      </c>
      <c r="J267">
        <v>31</v>
      </c>
      <c r="K267">
        <v>9.5</v>
      </c>
      <c r="L267" t="s">
        <v>19</v>
      </c>
      <c r="M267">
        <v>3414.5</v>
      </c>
      <c r="N267">
        <v>627</v>
      </c>
      <c r="O267">
        <v>180</v>
      </c>
      <c r="P267" s="8">
        <v>1778.3</v>
      </c>
      <c r="Q267" s="5">
        <f t="shared" si="13"/>
        <v>0.42124837143195548</v>
      </c>
      <c r="R267" s="26">
        <f t="shared" si="14"/>
        <v>5999.8</v>
      </c>
      <c r="S267" s="27">
        <f t="shared" si="15"/>
        <v>7079.7640000000001</v>
      </c>
    </row>
    <row r="268" spans="1:19" x14ac:dyDescent="0.3">
      <c r="A268">
        <v>200010076</v>
      </c>
      <c r="B268" s="18">
        <v>273723367</v>
      </c>
      <c r="C268" s="22">
        <v>46251</v>
      </c>
      <c r="D268" s="19">
        <v>875160522750</v>
      </c>
      <c r="E268" s="37">
        <v>43532</v>
      </c>
      <c r="F268" t="s">
        <v>41</v>
      </c>
      <c r="G268">
        <v>8</v>
      </c>
      <c r="H268">
        <v>53</v>
      </c>
      <c r="I268">
        <v>30</v>
      </c>
      <c r="J268">
        <v>29</v>
      </c>
      <c r="K268">
        <v>8</v>
      </c>
      <c r="L268" t="s">
        <v>19</v>
      </c>
      <c r="M268">
        <v>3069.3</v>
      </c>
      <c r="N268">
        <v>528</v>
      </c>
      <c r="O268">
        <v>180</v>
      </c>
      <c r="P268">
        <v>1582.8</v>
      </c>
      <c r="Q268" s="5">
        <f t="shared" si="13"/>
        <v>0.41902946549122388</v>
      </c>
      <c r="R268" s="26">
        <f t="shared" si="14"/>
        <v>5360.1</v>
      </c>
      <c r="S268" s="27">
        <f t="shared" si="15"/>
        <v>6324.9179999999997</v>
      </c>
    </row>
    <row r="269" spans="1:19" x14ac:dyDescent="0.3">
      <c r="A269">
        <v>200010076</v>
      </c>
      <c r="B269" s="18">
        <v>273723367</v>
      </c>
      <c r="C269" s="22">
        <v>46251</v>
      </c>
      <c r="D269" s="19">
        <v>875160527465</v>
      </c>
      <c r="E269" s="37">
        <v>43628</v>
      </c>
      <c r="F269" t="s">
        <v>41</v>
      </c>
      <c r="G269">
        <v>4</v>
      </c>
      <c r="H269">
        <v>50</v>
      </c>
      <c r="I269">
        <v>22</v>
      </c>
      <c r="J269">
        <v>21</v>
      </c>
      <c r="K269">
        <v>4</v>
      </c>
      <c r="L269" t="s">
        <v>19</v>
      </c>
      <c r="M269">
        <v>1966.1</v>
      </c>
      <c r="N269">
        <v>264</v>
      </c>
      <c r="O269">
        <v>180</v>
      </c>
      <c r="P269">
        <v>981.2</v>
      </c>
      <c r="Q269" s="5">
        <f t="shared" si="13"/>
        <v>0.40712003651300777</v>
      </c>
      <c r="R269" s="26">
        <f t="shared" si="14"/>
        <v>3391.3</v>
      </c>
      <c r="S269" s="27">
        <f t="shared" si="15"/>
        <v>4001.7339999999999</v>
      </c>
    </row>
    <row r="270" spans="1:19" x14ac:dyDescent="0.3">
      <c r="A270">
        <v>200010076</v>
      </c>
      <c r="B270" s="18">
        <v>273723367</v>
      </c>
      <c r="C270" s="22">
        <v>46251</v>
      </c>
      <c r="D270" s="19">
        <v>875160542443</v>
      </c>
      <c r="E270" s="37">
        <v>43639</v>
      </c>
      <c r="F270" t="s">
        <v>41</v>
      </c>
      <c r="G270">
        <v>9.5</v>
      </c>
      <c r="H270">
        <v>60</v>
      </c>
      <c r="I270">
        <v>29</v>
      </c>
      <c r="J270">
        <v>27</v>
      </c>
      <c r="K270">
        <v>9.5</v>
      </c>
      <c r="L270" t="s">
        <v>19</v>
      </c>
      <c r="M270">
        <v>3414.5</v>
      </c>
      <c r="N270">
        <v>627</v>
      </c>
      <c r="O270">
        <v>180</v>
      </c>
      <c r="P270">
        <v>1778.3</v>
      </c>
      <c r="Q270" s="5">
        <f t="shared" si="13"/>
        <v>0.42124837143195548</v>
      </c>
      <c r="R270" s="26">
        <f t="shared" si="14"/>
        <v>5999.8</v>
      </c>
      <c r="S270" s="27">
        <f t="shared" si="15"/>
        <v>7079.7640000000001</v>
      </c>
    </row>
    <row r="271" spans="1:19" x14ac:dyDescent="0.3">
      <c r="A271">
        <v>200010076</v>
      </c>
      <c r="B271" s="18">
        <v>273723367</v>
      </c>
      <c r="C271" s="22">
        <v>46251</v>
      </c>
      <c r="D271" s="19">
        <v>875192799097</v>
      </c>
      <c r="E271" s="37">
        <v>39430</v>
      </c>
      <c r="F271" t="s">
        <v>41</v>
      </c>
      <c r="G271">
        <v>7</v>
      </c>
      <c r="H271">
        <v>46</v>
      </c>
      <c r="I271">
        <v>30</v>
      </c>
      <c r="J271">
        <v>29</v>
      </c>
      <c r="K271">
        <v>7</v>
      </c>
      <c r="L271" t="s">
        <v>19</v>
      </c>
      <c r="M271">
        <v>2839.2</v>
      </c>
      <c r="N271">
        <v>462</v>
      </c>
      <c r="O271">
        <v>180</v>
      </c>
      <c r="P271" s="8">
        <v>1452.5</v>
      </c>
      <c r="Q271" s="5">
        <f t="shared" si="13"/>
        <v>0.41724118120188441</v>
      </c>
      <c r="R271" s="26">
        <f t="shared" si="14"/>
        <v>4933.7</v>
      </c>
      <c r="S271" s="27">
        <f t="shared" si="15"/>
        <v>5821.7659999999996</v>
      </c>
    </row>
    <row r="272" spans="1:19" x14ac:dyDescent="0.3">
      <c r="A272">
        <v>200010076</v>
      </c>
      <c r="B272" s="18">
        <v>273723367</v>
      </c>
      <c r="C272" s="22">
        <v>46251</v>
      </c>
      <c r="D272" s="19">
        <v>875192799855</v>
      </c>
      <c r="E272" s="37">
        <v>39707</v>
      </c>
      <c r="F272" t="s">
        <v>41</v>
      </c>
      <c r="G272">
        <v>12</v>
      </c>
      <c r="H272">
        <v>84</v>
      </c>
      <c r="I272">
        <v>29</v>
      </c>
      <c r="J272">
        <v>28</v>
      </c>
      <c r="K272">
        <v>12</v>
      </c>
      <c r="L272" t="s">
        <v>19</v>
      </c>
      <c r="M272">
        <v>5087.1000000000004</v>
      </c>
      <c r="N272">
        <v>792</v>
      </c>
      <c r="O272">
        <v>180</v>
      </c>
      <c r="P272">
        <v>2586.8000000000002</v>
      </c>
      <c r="Q272" s="5">
        <f t="shared" si="13"/>
        <v>0.42692809163077022</v>
      </c>
      <c r="R272" s="26">
        <f t="shared" si="14"/>
        <v>8645.9000000000015</v>
      </c>
      <c r="S272" s="27">
        <f t="shared" si="15"/>
        <v>10202.162000000002</v>
      </c>
    </row>
    <row r="273" spans="1:19" x14ac:dyDescent="0.3">
      <c r="A273">
        <v>200010076</v>
      </c>
      <c r="B273" s="18">
        <v>273723367</v>
      </c>
      <c r="C273" s="22">
        <v>46251</v>
      </c>
      <c r="D273" s="19">
        <v>875192800212</v>
      </c>
      <c r="E273" s="37">
        <v>7871500</v>
      </c>
      <c r="F273" t="s">
        <v>41</v>
      </c>
      <c r="G273">
        <v>1.59</v>
      </c>
      <c r="H273">
        <v>36</v>
      </c>
      <c r="I273">
        <v>23</v>
      </c>
      <c r="J273">
        <v>12</v>
      </c>
      <c r="K273">
        <v>1.7</v>
      </c>
      <c r="L273" t="s">
        <v>19</v>
      </c>
      <c r="M273">
        <v>1512.5</v>
      </c>
      <c r="N273">
        <v>132</v>
      </c>
      <c r="O273">
        <v>180</v>
      </c>
      <c r="P273" s="8">
        <v>723.6</v>
      </c>
      <c r="Q273" s="5">
        <f t="shared" si="13"/>
        <v>0.3966018087147164</v>
      </c>
      <c r="R273" s="26">
        <f t="shared" si="14"/>
        <v>2548.1</v>
      </c>
      <c r="S273" s="27">
        <f t="shared" si="15"/>
        <v>3006.7579999999998</v>
      </c>
    </row>
    <row r="274" spans="1:19" x14ac:dyDescent="0.3">
      <c r="A274">
        <v>200010076</v>
      </c>
      <c r="B274" s="18">
        <v>273723367</v>
      </c>
      <c r="C274" s="22">
        <v>46251</v>
      </c>
      <c r="D274" s="19">
        <v>875192802318</v>
      </c>
      <c r="E274" s="37">
        <v>40263</v>
      </c>
      <c r="F274" t="s">
        <v>41</v>
      </c>
      <c r="G274">
        <v>8</v>
      </c>
      <c r="H274">
        <v>58</v>
      </c>
      <c r="I274">
        <v>29</v>
      </c>
      <c r="J274">
        <v>28</v>
      </c>
      <c r="K274">
        <v>8</v>
      </c>
      <c r="L274" t="s">
        <v>19</v>
      </c>
      <c r="M274">
        <v>3069.3</v>
      </c>
      <c r="N274">
        <v>528</v>
      </c>
      <c r="O274">
        <v>180</v>
      </c>
      <c r="P274">
        <v>1582.8</v>
      </c>
      <c r="Q274" s="5">
        <f t="shared" si="13"/>
        <v>0.41902946549122388</v>
      </c>
      <c r="R274" s="26">
        <f t="shared" si="14"/>
        <v>5360.1</v>
      </c>
      <c r="S274" s="27">
        <f t="shared" si="15"/>
        <v>6324.9179999999997</v>
      </c>
    </row>
    <row r="275" spans="1:19" x14ac:dyDescent="0.3">
      <c r="A275">
        <v>200010076</v>
      </c>
      <c r="B275" s="18">
        <v>273723367</v>
      </c>
      <c r="C275" s="22">
        <v>46251</v>
      </c>
      <c r="D275" s="19">
        <v>875192802351</v>
      </c>
      <c r="E275" s="37">
        <v>40002</v>
      </c>
      <c r="F275" t="s">
        <v>41</v>
      </c>
      <c r="G275">
        <v>7.5</v>
      </c>
      <c r="H275">
        <v>51</v>
      </c>
      <c r="I275">
        <v>29</v>
      </c>
      <c r="J275">
        <v>28</v>
      </c>
      <c r="K275">
        <v>7.5</v>
      </c>
      <c r="L275" t="s">
        <v>19</v>
      </c>
      <c r="M275">
        <v>2954.2</v>
      </c>
      <c r="N275">
        <v>495</v>
      </c>
      <c r="O275">
        <v>180</v>
      </c>
      <c r="P275">
        <v>1517.7</v>
      </c>
      <c r="Q275" s="5">
        <f t="shared" si="13"/>
        <v>0.41819133693375954</v>
      </c>
      <c r="R275" s="26">
        <f t="shared" si="14"/>
        <v>5146.8999999999996</v>
      </c>
      <c r="S275" s="27">
        <f t="shared" si="15"/>
        <v>6073.3419999999996</v>
      </c>
    </row>
    <row r="276" spans="1:19" x14ac:dyDescent="0.3">
      <c r="A276">
        <v>200010076</v>
      </c>
      <c r="B276" s="18">
        <v>273723367</v>
      </c>
      <c r="C276" s="22">
        <v>46251</v>
      </c>
      <c r="D276" s="19">
        <v>875192803509</v>
      </c>
      <c r="E276" s="37">
        <v>7871543</v>
      </c>
      <c r="F276" t="s">
        <v>41</v>
      </c>
      <c r="G276">
        <v>9.5</v>
      </c>
      <c r="H276">
        <v>46</v>
      </c>
      <c r="I276">
        <v>38</v>
      </c>
      <c r="J276">
        <v>21</v>
      </c>
      <c r="K276">
        <v>9.5</v>
      </c>
      <c r="L276" t="s">
        <v>19</v>
      </c>
      <c r="M276">
        <v>3414.5</v>
      </c>
      <c r="N276">
        <v>627</v>
      </c>
      <c r="O276">
        <v>180</v>
      </c>
      <c r="P276" s="8">
        <v>1778.3</v>
      </c>
      <c r="Q276" s="5">
        <f t="shared" si="13"/>
        <v>0.42124837143195548</v>
      </c>
      <c r="R276" s="26">
        <f t="shared" si="14"/>
        <v>5999.8</v>
      </c>
      <c r="S276" s="27">
        <f t="shared" si="15"/>
        <v>7079.7640000000001</v>
      </c>
    </row>
    <row r="277" spans="1:19" x14ac:dyDescent="0.3">
      <c r="A277">
        <v>200010076</v>
      </c>
      <c r="B277" s="18">
        <v>273723367</v>
      </c>
      <c r="C277" s="22">
        <v>46251</v>
      </c>
      <c r="D277" s="19">
        <v>875192804295</v>
      </c>
      <c r="E277" s="37">
        <v>7871544</v>
      </c>
      <c r="F277" t="s">
        <v>41</v>
      </c>
      <c r="G277">
        <v>5.8</v>
      </c>
      <c r="H277">
        <v>44</v>
      </c>
      <c r="I277">
        <v>34</v>
      </c>
      <c r="J277">
        <v>16</v>
      </c>
      <c r="K277">
        <v>5.8</v>
      </c>
      <c r="L277" t="s">
        <v>19</v>
      </c>
      <c r="M277">
        <v>2609.1</v>
      </c>
      <c r="N277">
        <v>396</v>
      </c>
      <c r="O277">
        <v>180</v>
      </c>
      <c r="P277">
        <v>1322.2</v>
      </c>
      <c r="Q277" s="5">
        <f t="shared" si="13"/>
        <v>0.41512040438290793</v>
      </c>
      <c r="R277" s="26">
        <f t="shared" si="14"/>
        <v>4507.3</v>
      </c>
      <c r="S277" s="27">
        <f t="shared" si="15"/>
        <v>5318.6139999999996</v>
      </c>
    </row>
    <row r="278" spans="1:19" x14ac:dyDescent="0.3">
      <c r="A278">
        <v>200010076</v>
      </c>
      <c r="B278" s="18">
        <v>273723367</v>
      </c>
      <c r="C278" s="22">
        <v>46251</v>
      </c>
      <c r="D278" s="19">
        <v>875192804869</v>
      </c>
      <c r="E278" s="37">
        <v>40701</v>
      </c>
      <c r="F278" t="s">
        <v>41</v>
      </c>
      <c r="G278">
        <v>4.5</v>
      </c>
      <c r="H278">
        <v>49</v>
      </c>
      <c r="I278">
        <v>24</v>
      </c>
      <c r="J278">
        <v>22</v>
      </c>
      <c r="K278">
        <v>4.5</v>
      </c>
      <c r="L278" t="s">
        <v>19</v>
      </c>
      <c r="M278">
        <v>2098.9</v>
      </c>
      <c r="N278">
        <v>297</v>
      </c>
      <c r="O278">
        <v>0</v>
      </c>
      <c r="P278">
        <v>1054.2</v>
      </c>
      <c r="Q278" s="5">
        <f t="shared" si="13"/>
        <v>0.44000166951876124</v>
      </c>
      <c r="R278" s="26">
        <f t="shared" si="14"/>
        <v>3450.1000000000004</v>
      </c>
      <c r="S278" s="27">
        <f t="shared" si="15"/>
        <v>4071.1180000000004</v>
      </c>
    </row>
    <row r="279" spans="1:19" x14ac:dyDescent="0.3">
      <c r="A279">
        <v>200010076</v>
      </c>
      <c r="B279" s="18">
        <v>273723367</v>
      </c>
      <c r="C279" s="22">
        <v>46251</v>
      </c>
      <c r="D279" s="19">
        <v>875192805410</v>
      </c>
      <c r="E279" s="37">
        <v>40766</v>
      </c>
      <c r="F279" t="s">
        <v>41</v>
      </c>
      <c r="G279">
        <v>7</v>
      </c>
      <c r="H279">
        <v>70</v>
      </c>
      <c r="I279">
        <v>24</v>
      </c>
      <c r="J279">
        <v>23</v>
      </c>
      <c r="K279">
        <v>7</v>
      </c>
      <c r="L279" t="s">
        <v>19</v>
      </c>
      <c r="M279">
        <v>2839.2</v>
      </c>
      <c r="N279">
        <v>462</v>
      </c>
      <c r="O279">
        <v>180</v>
      </c>
      <c r="P279" s="8">
        <v>1452.5</v>
      </c>
      <c r="Q279" s="5">
        <f t="shared" si="13"/>
        <v>0.41724118120188441</v>
      </c>
      <c r="R279" s="26">
        <f t="shared" si="14"/>
        <v>4933.7</v>
      </c>
      <c r="S279" s="27">
        <f t="shared" si="15"/>
        <v>5821.7659999999996</v>
      </c>
    </row>
    <row r="280" spans="1:19" x14ac:dyDescent="0.3">
      <c r="A280">
        <v>200010076</v>
      </c>
      <c r="B280" s="18">
        <v>273723367</v>
      </c>
      <c r="C280" s="22">
        <v>46251</v>
      </c>
      <c r="D280" s="19">
        <v>875192807044</v>
      </c>
      <c r="E280" s="37">
        <v>40941</v>
      </c>
      <c r="F280" t="s">
        <v>41</v>
      </c>
      <c r="G280">
        <v>5</v>
      </c>
      <c r="H280">
        <v>69</v>
      </c>
      <c r="I280">
        <v>21</v>
      </c>
      <c r="J280">
        <v>20</v>
      </c>
      <c r="K280">
        <v>5</v>
      </c>
      <c r="L280" t="s">
        <v>19</v>
      </c>
      <c r="M280">
        <v>2231.6999999999998</v>
      </c>
      <c r="N280">
        <v>330</v>
      </c>
      <c r="O280">
        <v>180</v>
      </c>
      <c r="P280">
        <v>1127.2</v>
      </c>
      <c r="Q280" s="5">
        <f t="shared" si="13"/>
        <v>0.41113177955283225</v>
      </c>
      <c r="R280" s="26">
        <f t="shared" si="14"/>
        <v>3868.8999999999996</v>
      </c>
      <c r="S280" s="27">
        <f t="shared" si="15"/>
        <v>4565.3019999999997</v>
      </c>
    </row>
    <row r="281" spans="1:19" x14ac:dyDescent="0.3">
      <c r="A281">
        <v>200010076</v>
      </c>
      <c r="B281" s="18">
        <v>273723367</v>
      </c>
      <c r="C281" s="22">
        <v>46251</v>
      </c>
      <c r="D281" s="19">
        <v>875192807813</v>
      </c>
      <c r="E281" s="37">
        <v>7871616</v>
      </c>
      <c r="F281" t="s">
        <v>41</v>
      </c>
      <c r="G281">
        <v>7.53</v>
      </c>
      <c r="H281">
        <v>43</v>
      </c>
      <c r="I281">
        <v>36</v>
      </c>
      <c r="J281">
        <v>23</v>
      </c>
      <c r="K281">
        <v>7.5</v>
      </c>
      <c r="L281" t="s">
        <v>19</v>
      </c>
      <c r="M281">
        <v>2954.2</v>
      </c>
      <c r="N281">
        <v>495</v>
      </c>
      <c r="O281" s="8">
        <v>180</v>
      </c>
      <c r="P281" s="8">
        <v>1517.7</v>
      </c>
      <c r="Q281" s="5">
        <f t="shared" si="13"/>
        <v>0.41819133693375954</v>
      </c>
      <c r="R281" s="26">
        <f t="shared" si="14"/>
        <v>5146.8999999999996</v>
      </c>
      <c r="S281" s="27">
        <f t="shared" si="15"/>
        <v>6073.3419999999996</v>
      </c>
    </row>
    <row r="282" spans="1:19" x14ac:dyDescent="0.3">
      <c r="A282">
        <v>200010076</v>
      </c>
      <c r="B282" s="18">
        <v>273723367</v>
      </c>
      <c r="C282" s="22">
        <v>46251</v>
      </c>
      <c r="D282" s="19">
        <v>875192808257</v>
      </c>
      <c r="E282" s="37">
        <v>41288</v>
      </c>
      <c r="F282" t="s">
        <v>41</v>
      </c>
      <c r="G282">
        <v>12</v>
      </c>
      <c r="H282">
        <v>73</v>
      </c>
      <c r="I282">
        <v>31</v>
      </c>
      <c r="J282">
        <v>31</v>
      </c>
      <c r="K282">
        <v>12</v>
      </c>
      <c r="L282" t="s">
        <v>19</v>
      </c>
      <c r="M282">
        <v>5087.1000000000004</v>
      </c>
      <c r="N282">
        <v>792</v>
      </c>
      <c r="O282" s="8">
        <v>180</v>
      </c>
      <c r="P282" s="8">
        <v>2586.8000000000002</v>
      </c>
      <c r="Q282" s="5">
        <f t="shared" si="13"/>
        <v>0.42692809163077022</v>
      </c>
      <c r="R282" s="26">
        <f t="shared" si="14"/>
        <v>8645.9000000000015</v>
      </c>
      <c r="S282" s="27">
        <f t="shared" si="15"/>
        <v>10202.162000000002</v>
      </c>
    </row>
    <row r="283" spans="1:19" x14ac:dyDescent="0.3">
      <c r="A283">
        <v>200010076</v>
      </c>
      <c r="B283" s="18">
        <v>273723367</v>
      </c>
      <c r="C283" s="22">
        <v>46251</v>
      </c>
      <c r="D283" s="19">
        <v>875192809312</v>
      </c>
      <c r="E283" s="37">
        <v>41576</v>
      </c>
      <c r="F283" t="s">
        <v>41</v>
      </c>
      <c r="G283">
        <v>15.5</v>
      </c>
      <c r="H283">
        <v>88</v>
      </c>
      <c r="I283">
        <v>33</v>
      </c>
      <c r="J283">
        <v>32</v>
      </c>
      <c r="K283">
        <v>15.5</v>
      </c>
      <c r="L283" t="s">
        <v>19</v>
      </c>
      <c r="M283">
        <v>6282</v>
      </c>
      <c r="N283">
        <v>1023</v>
      </c>
      <c r="O283" s="8">
        <v>180</v>
      </c>
      <c r="P283" s="8">
        <v>3214.2</v>
      </c>
      <c r="Q283" s="5">
        <f t="shared" si="13"/>
        <v>0.42941883767535066</v>
      </c>
      <c r="R283" s="26">
        <f t="shared" si="14"/>
        <v>10699.2</v>
      </c>
      <c r="S283" s="27">
        <f t="shared" si="15"/>
        <v>12625.056</v>
      </c>
    </row>
    <row r="284" spans="1:19" x14ac:dyDescent="0.3">
      <c r="A284">
        <v>200010076</v>
      </c>
      <c r="B284" s="18">
        <v>273723367</v>
      </c>
      <c r="C284" s="22">
        <v>46251</v>
      </c>
      <c r="D284" s="19">
        <v>875192810040</v>
      </c>
      <c r="E284" s="37">
        <v>41677</v>
      </c>
      <c r="F284" t="s">
        <v>41</v>
      </c>
      <c r="G284">
        <v>12.5</v>
      </c>
      <c r="H284">
        <v>92</v>
      </c>
      <c r="I284">
        <v>28</v>
      </c>
      <c r="J284">
        <v>28</v>
      </c>
      <c r="K284">
        <v>12.5</v>
      </c>
      <c r="L284" t="s">
        <v>19</v>
      </c>
      <c r="M284">
        <v>5257.8</v>
      </c>
      <c r="N284">
        <v>825</v>
      </c>
      <c r="O284" s="8">
        <v>180</v>
      </c>
      <c r="P284">
        <v>2676.4</v>
      </c>
      <c r="Q284" s="5">
        <f t="shared" si="13"/>
        <v>0.42734878967873796</v>
      </c>
      <c r="R284" s="26">
        <f t="shared" si="14"/>
        <v>8939.2000000000007</v>
      </c>
      <c r="S284" s="27">
        <f t="shared" si="15"/>
        <v>10548.255999999999</v>
      </c>
    </row>
    <row r="285" spans="1:19" x14ac:dyDescent="0.3">
      <c r="A285">
        <v>200010076</v>
      </c>
      <c r="B285" s="18">
        <v>273723367</v>
      </c>
      <c r="C285" s="22">
        <v>46251</v>
      </c>
      <c r="D285" s="19">
        <v>875192810706</v>
      </c>
      <c r="E285" s="37">
        <v>41638</v>
      </c>
      <c r="F285" t="s">
        <v>41</v>
      </c>
      <c r="G285">
        <v>12.5</v>
      </c>
      <c r="H285">
        <v>72</v>
      </c>
      <c r="I285">
        <v>33</v>
      </c>
      <c r="J285">
        <v>30</v>
      </c>
      <c r="K285">
        <v>12.5</v>
      </c>
      <c r="L285" t="s">
        <v>19</v>
      </c>
      <c r="M285">
        <v>5257.8</v>
      </c>
      <c r="N285">
        <v>825</v>
      </c>
      <c r="O285" s="8">
        <v>180</v>
      </c>
      <c r="P285" s="8">
        <v>2676.4</v>
      </c>
      <c r="Q285" s="5">
        <f t="shared" si="13"/>
        <v>0.42734878967873796</v>
      </c>
      <c r="R285" s="26">
        <f t="shared" si="14"/>
        <v>8939.2000000000007</v>
      </c>
      <c r="S285" s="27">
        <f t="shared" si="15"/>
        <v>10548.255999999999</v>
      </c>
    </row>
    <row r="286" spans="1:19" x14ac:dyDescent="0.3">
      <c r="A286">
        <v>200010076</v>
      </c>
      <c r="B286" s="18">
        <v>273723367</v>
      </c>
      <c r="C286" s="22">
        <v>46251</v>
      </c>
      <c r="D286" s="19">
        <v>875192810739</v>
      </c>
      <c r="E286" s="37">
        <v>41672</v>
      </c>
      <c r="F286" t="s">
        <v>41</v>
      </c>
      <c r="G286">
        <v>6.5</v>
      </c>
      <c r="H286">
        <v>47</v>
      </c>
      <c r="I286">
        <v>28</v>
      </c>
      <c r="J286">
        <v>27</v>
      </c>
      <c r="K286">
        <v>6.5</v>
      </c>
      <c r="L286" t="s">
        <v>19</v>
      </c>
      <c r="M286">
        <v>2724.1</v>
      </c>
      <c r="N286">
        <v>429</v>
      </c>
      <c r="O286" s="8">
        <v>180</v>
      </c>
      <c r="P286">
        <v>1387.4</v>
      </c>
      <c r="Q286" s="5">
        <f t="shared" si="13"/>
        <v>0.41624913743962083</v>
      </c>
      <c r="R286" s="26">
        <f t="shared" si="14"/>
        <v>4720.5</v>
      </c>
      <c r="S286" s="27">
        <f t="shared" si="15"/>
        <v>5570.19</v>
      </c>
    </row>
    <row r="287" spans="1:19" x14ac:dyDescent="0.3">
      <c r="A287">
        <v>200010076</v>
      </c>
      <c r="B287" s="18">
        <v>273723367</v>
      </c>
      <c r="C287" s="22">
        <v>46251</v>
      </c>
      <c r="D287" s="19">
        <v>875192810794</v>
      </c>
      <c r="E287" s="37">
        <v>41989</v>
      </c>
      <c r="F287" t="s">
        <v>41</v>
      </c>
      <c r="G287">
        <v>6.5</v>
      </c>
      <c r="H287">
        <v>55</v>
      </c>
      <c r="I287">
        <v>27</v>
      </c>
      <c r="J287">
        <v>24</v>
      </c>
      <c r="K287">
        <v>6.5</v>
      </c>
      <c r="L287" t="s">
        <v>19</v>
      </c>
      <c r="M287">
        <v>2724.1</v>
      </c>
      <c r="N287">
        <v>429</v>
      </c>
      <c r="O287" s="8">
        <v>180</v>
      </c>
      <c r="P287" s="8">
        <v>1387.4</v>
      </c>
      <c r="Q287" s="5">
        <f t="shared" si="13"/>
        <v>0.41624913743962083</v>
      </c>
      <c r="R287" s="26">
        <f t="shared" si="14"/>
        <v>4720.5</v>
      </c>
      <c r="S287" s="27">
        <f t="shared" si="15"/>
        <v>5570.19</v>
      </c>
    </row>
    <row r="288" spans="1:19" x14ac:dyDescent="0.3">
      <c r="A288">
        <v>200010076</v>
      </c>
      <c r="B288" s="18">
        <v>273723367</v>
      </c>
      <c r="C288" s="22">
        <v>46251</v>
      </c>
      <c r="D288" s="19">
        <v>875192811805</v>
      </c>
      <c r="E288" s="37">
        <v>42124</v>
      </c>
      <c r="F288" t="s">
        <v>41</v>
      </c>
      <c r="G288">
        <v>4.5</v>
      </c>
      <c r="H288">
        <v>49</v>
      </c>
      <c r="I288">
        <v>23</v>
      </c>
      <c r="J288">
        <v>23</v>
      </c>
      <c r="K288">
        <v>4.5</v>
      </c>
      <c r="L288" t="s">
        <v>19</v>
      </c>
      <c r="M288">
        <v>2098.9</v>
      </c>
      <c r="N288">
        <v>297</v>
      </c>
      <c r="O288" s="8">
        <v>180</v>
      </c>
      <c r="P288" s="8">
        <v>1054.2</v>
      </c>
      <c r="Q288" s="5">
        <f t="shared" si="13"/>
        <v>0.40925501766372918</v>
      </c>
      <c r="R288" s="26">
        <f t="shared" si="14"/>
        <v>3630.1000000000004</v>
      </c>
      <c r="S288" s="27">
        <f t="shared" si="15"/>
        <v>4283.518</v>
      </c>
    </row>
    <row r="289" spans="1:19" x14ac:dyDescent="0.3">
      <c r="A289">
        <v>200010076</v>
      </c>
      <c r="B289" s="18">
        <v>273723367</v>
      </c>
      <c r="C289" s="22">
        <v>46251</v>
      </c>
      <c r="D289" s="19">
        <v>875192811952</v>
      </c>
      <c r="E289" s="37">
        <v>41883</v>
      </c>
      <c r="F289" t="s">
        <v>41</v>
      </c>
      <c r="G289">
        <v>6</v>
      </c>
      <c r="H289">
        <v>56</v>
      </c>
      <c r="I289">
        <v>25</v>
      </c>
      <c r="J289">
        <v>24</v>
      </c>
      <c r="K289">
        <v>6</v>
      </c>
      <c r="L289" t="s">
        <v>19</v>
      </c>
      <c r="M289">
        <v>2609.1</v>
      </c>
      <c r="N289">
        <v>396</v>
      </c>
      <c r="O289" s="8">
        <v>180</v>
      </c>
      <c r="P289" s="8">
        <v>1322.2</v>
      </c>
      <c r="Q289" s="5">
        <f t="shared" si="13"/>
        <v>0.41512040438290793</v>
      </c>
      <c r="R289" s="26">
        <f t="shared" si="14"/>
        <v>4507.3</v>
      </c>
      <c r="S289" s="27">
        <f t="shared" si="15"/>
        <v>5318.6139999999996</v>
      </c>
    </row>
    <row r="290" spans="1:19" x14ac:dyDescent="0.3">
      <c r="A290">
        <v>200010076</v>
      </c>
      <c r="B290" s="18">
        <v>273723367</v>
      </c>
      <c r="C290" s="22">
        <v>46251</v>
      </c>
      <c r="D290" s="19">
        <v>875192813679</v>
      </c>
      <c r="E290" s="37">
        <v>42008</v>
      </c>
      <c r="F290" t="s">
        <v>41</v>
      </c>
      <c r="G290">
        <v>4.5</v>
      </c>
      <c r="H290">
        <v>44</v>
      </c>
      <c r="I290">
        <v>23</v>
      </c>
      <c r="J290">
        <v>23</v>
      </c>
      <c r="K290">
        <v>4.5</v>
      </c>
      <c r="L290" t="s">
        <v>19</v>
      </c>
      <c r="M290">
        <v>2098.9</v>
      </c>
      <c r="N290">
        <v>297</v>
      </c>
      <c r="O290" s="8">
        <v>180</v>
      </c>
      <c r="P290" s="8">
        <v>1054.2</v>
      </c>
      <c r="Q290" s="5">
        <f t="shared" si="13"/>
        <v>0.40925501766372918</v>
      </c>
      <c r="R290" s="26">
        <f t="shared" si="14"/>
        <v>3630.1000000000004</v>
      </c>
      <c r="S290" s="27">
        <f t="shared" si="15"/>
        <v>4283.518</v>
      </c>
    </row>
    <row r="291" spans="1:19" x14ac:dyDescent="0.3">
      <c r="A291">
        <v>200010076</v>
      </c>
      <c r="B291" s="18">
        <v>273723367</v>
      </c>
      <c r="C291" s="22">
        <v>46251</v>
      </c>
      <c r="D291" s="19">
        <v>875192813793</v>
      </c>
      <c r="E291" s="37">
        <v>42052</v>
      </c>
      <c r="F291" t="s">
        <v>41</v>
      </c>
      <c r="G291">
        <v>4.5</v>
      </c>
      <c r="H291">
        <v>48</v>
      </c>
      <c r="I291">
        <v>23</v>
      </c>
      <c r="J291">
        <v>21</v>
      </c>
      <c r="K291">
        <v>4.5</v>
      </c>
      <c r="L291" t="s">
        <v>19</v>
      </c>
      <c r="M291">
        <v>2098.9</v>
      </c>
      <c r="N291">
        <v>297</v>
      </c>
      <c r="O291" s="8">
        <v>180</v>
      </c>
      <c r="P291">
        <v>1054.2</v>
      </c>
      <c r="Q291" s="5">
        <f t="shared" si="13"/>
        <v>0.40925501766372918</v>
      </c>
      <c r="R291" s="26">
        <f t="shared" si="14"/>
        <v>3630.1000000000004</v>
      </c>
      <c r="S291" s="27">
        <f t="shared" si="15"/>
        <v>4283.518</v>
      </c>
    </row>
    <row r="292" spans="1:19" x14ac:dyDescent="0.3">
      <c r="A292">
        <v>200010076</v>
      </c>
      <c r="B292" s="18">
        <v>273723367</v>
      </c>
      <c r="C292" s="22">
        <v>46251</v>
      </c>
      <c r="D292" s="19">
        <v>875192815101</v>
      </c>
      <c r="E292" s="37">
        <v>42141</v>
      </c>
      <c r="F292" t="s">
        <v>41</v>
      </c>
      <c r="G292">
        <v>6.5</v>
      </c>
      <c r="H292">
        <v>49</v>
      </c>
      <c r="I292">
        <v>28</v>
      </c>
      <c r="J292">
        <v>27</v>
      </c>
      <c r="K292">
        <v>6.5</v>
      </c>
      <c r="L292" t="s">
        <v>19</v>
      </c>
      <c r="M292">
        <v>2724.1</v>
      </c>
      <c r="N292">
        <v>429</v>
      </c>
      <c r="O292" s="8">
        <v>180</v>
      </c>
      <c r="P292" s="8">
        <v>1387.4</v>
      </c>
      <c r="Q292" s="5">
        <f t="shared" si="13"/>
        <v>0.41624913743962083</v>
      </c>
      <c r="R292" s="26">
        <f t="shared" si="14"/>
        <v>4720.5</v>
      </c>
      <c r="S292" s="27">
        <f t="shared" si="15"/>
        <v>5570.19</v>
      </c>
    </row>
    <row r="293" spans="1:19" x14ac:dyDescent="0.3">
      <c r="A293">
        <v>200010076</v>
      </c>
      <c r="B293" s="18">
        <v>273723367</v>
      </c>
      <c r="C293" s="22">
        <v>46251</v>
      </c>
      <c r="D293" s="19">
        <v>875192815638</v>
      </c>
      <c r="E293" s="37">
        <v>42665</v>
      </c>
      <c r="F293" t="s">
        <v>41</v>
      </c>
      <c r="G293">
        <v>10.5</v>
      </c>
      <c r="H293">
        <v>64</v>
      </c>
      <c r="I293">
        <v>23</v>
      </c>
      <c r="J293">
        <v>23</v>
      </c>
      <c r="K293">
        <v>10.5</v>
      </c>
      <c r="L293" t="s">
        <v>19</v>
      </c>
      <c r="M293">
        <v>4575.1000000000004</v>
      </c>
      <c r="N293">
        <v>693</v>
      </c>
      <c r="O293" s="8">
        <v>0</v>
      </c>
      <c r="P293" s="8">
        <v>2318</v>
      </c>
      <c r="Q293" s="5">
        <f t="shared" si="13"/>
        <v>0.44000683358326531</v>
      </c>
      <c r="R293" s="26">
        <f t="shared" si="14"/>
        <v>7586.1</v>
      </c>
      <c r="S293" s="27">
        <f t="shared" si="15"/>
        <v>8951.598</v>
      </c>
    </row>
    <row r="294" spans="1:19" x14ac:dyDescent="0.3">
      <c r="A294">
        <v>200010076</v>
      </c>
      <c r="B294" s="18">
        <v>273723367</v>
      </c>
      <c r="C294" s="22">
        <v>46251</v>
      </c>
      <c r="D294" s="19">
        <v>875192816380</v>
      </c>
      <c r="E294" s="37">
        <v>42337</v>
      </c>
      <c r="F294" t="s">
        <v>41</v>
      </c>
      <c r="G294">
        <v>5</v>
      </c>
      <c r="H294">
        <v>53</v>
      </c>
      <c r="I294">
        <v>23</v>
      </c>
      <c r="J294">
        <v>22</v>
      </c>
      <c r="K294">
        <v>5</v>
      </c>
      <c r="L294" t="s">
        <v>19</v>
      </c>
      <c r="M294">
        <v>2231.6999999999998</v>
      </c>
      <c r="N294">
        <v>330</v>
      </c>
      <c r="O294" s="8">
        <v>180</v>
      </c>
      <c r="P294" s="8">
        <v>1127.2</v>
      </c>
      <c r="Q294" s="5">
        <f t="shared" si="13"/>
        <v>0.41113177955283225</v>
      </c>
      <c r="R294" s="26">
        <f t="shared" si="14"/>
        <v>3868.8999999999996</v>
      </c>
      <c r="S294" s="27">
        <f t="shared" si="15"/>
        <v>4565.3019999999997</v>
      </c>
    </row>
    <row r="295" spans="1:19" x14ac:dyDescent="0.3">
      <c r="A295">
        <v>200010076</v>
      </c>
      <c r="B295" s="18">
        <v>273723367</v>
      </c>
      <c r="C295" s="22">
        <v>46251</v>
      </c>
      <c r="D295" s="19">
        <v>875192816450</v>
      </c>
      <c r="E295" s="37">
        <v>7871718</v>
      </c>
      <c r="F295" t="s">
        <v>41</v>
      </c>
      <c r="G295">
        <v>2.54</v>
      </c>
      <c r="H295">
        <v>33</v>
      </c>
      <c r="I295">
        <v>33</v>
      </c>
      <c r="J295">
        <v>10</v>
      </c>
      <c r="K295">
        <v>2.5</v>
      </c>
      <c r="L295" t="s">
        <v>19</v>
      </c>
      <c r="M295">
        <v>1671.3</v>
      </c>
      <c r="N295">
        <v>165</v>
      </c>
      <c r="O295" s="8">
        <v>180</v>
      </c>
      <c r="P295" s="8">
        <v>808</v>
      </c>
      <c r="Q295" s="5">
        <f t="shared" si="13"/>
        <v>0.40073401775529438</v>
      </c>
      <c r="R295" s="26">
        <f t="shared" si="14"/>
        <v>2824.3</v>
      </c>
      <c r="S295" s="27">
        <f t="shared" si="15"/>
        <v>3332.674</v>
      </c>
    </row>
    <row r="296" spans="1:19" x14ac:dyDescent="0.3">
      <c r="A296">
        <v>200010076</v>
      </c>
      <c r="B296" s="18">
        <v>273723367</v>
      </c>
      <c r="C296" s="22">
        <v>46251</v>
      </c>
      <c r="D296" s="19">
        <v>875192817090</v>
      </c>
      <c r="E296" s="37">
        <v>42407</v>
      </c>
      <c r="F296" t="s">
        <v>41</v>
      </c>
      <c r="G296">
        <v>5</v>
      </c>
      <c r="H296">
        <v>56</v>
      </c>
      <c r="I296">
        <v>24</v>
      </c>
      <c r="J296">
        <v>20</v>
      </c>
      <c r="K296">
        <v>5</v>
      </c>
      <c r="L296" t="s">
        <v>19</v>
      </c>
      <c r="M296">
        <v>2231.6999999999998</v>
      </c>
      <c r="N296">
        <v>330</v>
      </c>
      <c r="O296" s="8">
        <v>180</v>
      </c>
      <c r="P296" s="8">
        <v>1127.2</v>
      </c>
      <c r="Q296" s="5">
        <f t="shared" si="13"/>
        <v>0.41113177955283225</v>
      </c>
      <c r="R296" s="26">
        <f t="shared" si="14"/>
        <v>3868.8999999999996</v>
      </c>
      <c r="S296" s="27">
        <f t="shared" si="15"/>
        <v>4565.3019999999997</v>
      </c>
    </row>
    <row r="297" spans="1:19" x14ac:dyDescent="0.3">
      <c r="A297">
        <v>200010076</v>
      </c>
      <c r="B297" s="18">
        <v>273723367</v>
      </c>
      <c r="C297" s="22">
        <v>46251</v>
      </c>
      <c r="D297" s="19">
        <v>875192817825</v>
      </c>
      <c r="E297" s="37">
        <v>42642</v>
      </c>
      <c r="F297" t="s">
        <v>41</v>
      </c>
      <c r="G297">
        <v>9.5</v>
      </c>
      <c r="H297">
        <v>58</v>
      </c>
      <c r="I297">
        <v>33</v>
      </c>
      <c r="J297">
        <v>29</v>
      </c>
      <c r="K297">
        <v>9.5</v>
      </c>
      <c r="L297" t="s">
        <v>19</v>
      </c>
      <c r="M297">
        <v>3414.5</v>
      </c>
      <c r="N297">
        <v>627</v>
      </c>
      <c r="O297" s="8">
        <v>180</v>
      </c>
      <c r="P297" s="8">
        <v>1778.3</v>
      </c>
      <c r="Q297" s="5">
        <f t="shared" si="13"/>
        <v>0.42124837143195548</v>
      </c>
      <c r="R297" s="26">
        <f t="shared" si="14"/>
        <v>5999.8</v>
      </c>
      <c r="S297" s="27">
        <f t="shared" si="15"/>
        <v>7079.7640000000001</v>
      </c>
    </row>
    <row r="298" spans="1:19" x14ac:dyDescent="0.3">
      <c r="A298">
        <v>200010076</v>
      </c>
      <c r="B298" s="18">
        <v>273723367</v>
      </c>
      <c r="C298" s="22">
        <v>46251</v>
      </c>
      <c r="D298" s="19">
        <v>875192818442</v>
      </c>
      <c r="E298" s="37">
        <v>42715</v>
      </c>
      <c r="F298" t="s">
        <v>41</v>
      </c>
      <c r="G298">
        <v>9</v>
      </c>
      <c r="H298">
        <v>51</v>
      </c>
      <c r="I298">
        <v>32</v>
      </c>
      <c r="J298">
        <v>31</v>
      </c>
      <c r="K298">
        <v>9</v>
      </c>
      <c r="L298" t="s">
        <v>19</v>
      </c>
      <c r="M298">
        <v>3299.4</v>
      </c>
      <c r="N298">
        <v>594</v>
      </c>
      <c r="O298" s="8">
        <v>180</v>
      </c>
      <c r="P298" s="8">
        <v>1713.1</v>
      </c>
      <c r="Q298" s="5">
        <f t="shared" si="13"/>
        <v>0.42055776501202924</v>
      </c>
      <c r="R298" s="26">
        <f t="shared" si="14"/>
        <v>5786.5</v>
      </c>
      <c r="S298" s="27">
        <f t="shared" si="15"/>
        <v>6828.07</v>
      </c>
    </row>
    <row r="299" spans="1:19" x14ac:dyDescent="0.3">
      <c r="A299">
        <v>200010076</v>
      </c>
      <c r="B299" s="18">
        <v>273723367</v>
      </c>
      <c r="C299" s="22">
        <v>46251</v>
      </c>
      <c r="D299" s="19">
        <v>875192820876</v>
      </c>
      <c r="E299" s="37">
        <v>7871729</v>
      </c>
      <c r="F299" t="s">
        <v>41</v>
      </c>
      <c r="G299">
        <v>5</v>
      </c>
      <c r="H299">
        <v>44</v>
      </c>
      <c r="I299">
        <v>32</v>
      </c>
      <c r="J299">
        <v>19</v>
      </c>
      <c r="K299">
        <v>5</v>
      </c>
      <c r="L299" t="s">
        <v>19</v>
      </c>
      <c r="M299">
        <v>2231.6999999999998</v>
      </c>
      <c r="N299">
        <v>330</v>
      </c>
      <c r="O299" s="8">
        <v>180</v>
      </c>
      <c r="P299" s="8">
        <v>1127.2</v>
      </c>
      <c r="Q299" s="5">
        <f t="shared" si="13"/>
        <v>0.41113177955283225</v>
      </c>
      <c r="R299" s="26">
        <f t="shared" si="14"/>
        <v>3868.8999999999996</v>
      </c>
      <c r="S299" s="27">
        <f t="shared" si="15"/>
        <v>4565.3019999999997</v>
      </c>
    </row>
    <row r="300" spans="1:19" x14ac:dyDescent="0.3">
      <c r="A300">
        <v>200010076</v>
      </c>
      <c r="B300" s="18">
        <v>273723367</v>
      </c>
      <c r="C300" s="22">
        <v>46251</v>
      </c>
      <c r="D300" s="19">
        <v>875192820898</v>
      </c>
      <c r="E300" s="37">
        <v>42828</v>
      </c>
      <c r="F300" t="s">
        <v>41</v>
      </c>
      <c r="G300">
        <v>4.5</v>
      </c>
      <c r="H300">
        <v>57</v>
      </c>
      <c r="I300">
        <v>22</v>
      </c>
      <c r="J300">
        <v>21</v>
      </c>
      <c r="K300">
        <v>4.5</v>
      </c>
      <c r="L300" t="s">
        <v>19</v>
      </c>
      <c r="M300">
        <v>2098.9</v>
      </c>
      <c r="N300">
        <v>297</v>
      </c>
      <c r="O300" s="8">
        <f>180+900</f>
        <v>1080</v>
      </c>
      <c r="P300">
        <v>1450.2</v>
      </c>
      <c r="Q300" s="5">
        <f t="shared" si="13"/>
        <v>0.41721568514629304</v>
      </c>
      <c r="R300" s="26">
        <f t="shared" si="14"/>
        <v>4926.1000000000004</v>
      </c>
      <c r="S300" s="27">
        <f t="shared" si="15"/>
        <v>5812.7979999999998</v>
      </c>
    </row>
    <row r="301" spans="1:19" x14ac:dyDescent="0.3">
      <c r="A301">
        <v>200010076</v>
      </c>
      <c r="B301" s="18">
        <v>273723367</v>
      </c>
      <c r="C301" s="22">
        <v>46251</v>
      </c>
      <c r="D301" s="19">
        <v>875192821390</v>
      </c>
      <c r="E301" s="37">
        <v>4117268201</v>
      </c>
      <c r="F301" t="s">
        <v>41</v>
      </c>
      <c r="G301">
        <v>4</v>
      </c>
      <c r="H301">
        <v>51</v>
      </c>
      <c r="I301">
        <v>21</v>
      </c>
      <c r="J301">
        <v>20</v>
      </c>
      <c r="K301">
        <v>4</v>
      </c>
      <c r="L301" t="s">
        <v>19</v>
      </c>
      <c r="M301">
        <v>1966.1</v>
      </c>
      <c r="N301">
        <v>264</v>
      </c>
      <c r="O301" s="8">
        <v>180</v>
      </c>
      <c r="P301">
        <v>981.2</v>
      </c>
      <c r="Q301" s="5">
        <f t="shared" si="13"/>
        <v>0.40712003651300777</v>
      </c>
      <c r="R301" s="26">
        <f t="shared" si="14"/>
        <v>3391.3</v>
      </c>
      <c r="S301" s="27">
        <f t="shared" si="15"/>
        <v>4001.7339999999999</v>
      </c>
    </row>
    <row r="302" spans="1:19" x14ac:dyDescent="0.3">
      <c r="A302">
        <v>200010076</v>
      </c>
      <c r="B302" s="18">
        <v>273723367</v>
      </c>
      <c r="C302" s="22">
        <v>46251</v>
      </c>
      <c r="D302" s="19">
        <v>875192823073</v>
      </c>
      <c r="E302" s="37">
        <v>4118685299</v>
      </c>
      <c r="F302" t="s">
        <v>41</v>
      </c>
      <c r="G302">
        <v>4.5</v>
      </c>
      <c r="H302">
        <v>41</v>
      </c>
      <c r="I302">
        <v>26</v>
      </c>
      <c r="J302">
        <v>24</v>
      </c>
      <c r="K302">
        <v>4.5</v>
      </c>
      <c r="L302" t="s">
        <v>19</v>
      </c>
      <c r="M302">
        <v>2098.9</v>
      </c>
      <c r="N302">
        <v>297</v>
      </c>
      <c r="O302" s="8">
        <v>180</v>
      </c>
      <c r="P302">
        <v>1054.2</v>
      </c>
      <c r="Q302" s="5">
        <f t="shared" si="13"/>
        <v>0.40925501766372918</v>
      </c>
      <c r="R302" s="26">
        <f t="shared" si="14"/>
        <v>3630.1000000000004</v>
      </c>
      <c r="S302" s="27">
        <f t="shared" si="15"/>
        <v>4283.518</v>
      </c>
    </row>
    <row r="303" spans="1:19" x14ac:dyDescent="0.3">
      <c r="A303">
        <v>200010076</v>
      </c>
      <c r="B303" s="18">
        <v>273723367</v>
      </c>
      <c r="C303" s="22">
        <v>46251</v>
      </c>
      <c r="D303" s="19">
        <v>875192823706</v>
      </c>
      <c r="E303" s="37">
        <v>43027</v>
      </c>
      <c r="F303" t="s">
        <v>41</v>
      </c>
      <c r="G303">
        <v>4.5</v>
      </c>
      <c r="H303">
        <v>59</v>
      </c>
      <c r="I303">
        <v>22</v>
      </c>
      <c r="J303">
        <v>20</v>
      </c>
      <c r="K303">
        <v>4.5</v>
      </c>
      <c r="L303" t="s">
        <v>19</v>
      </c>
      <c r="M303">
        <v>2098.9</v>
      </c>
      <c r="N303">
        <v>297</v>
      </c>
      <c r="O303" s="8">
        <v>180</v>
      </c>
      <c r="P303">
        <v>1054.2</v>
      </c>
      <c r="Q303" s="5">
        <f t="shared" si="13"/>
        <v>0.40925501766372918</v>
      </c>
      <c r="R303" s="26">
        <f t="shared" si="14"/>
        <v>3630.1000000000004</v>
      </c>
      <c r="S303" s="27">
        <f t="shared" si="15"/>
        <v>4283.518</v>
      </c>
    </row>
    <row r="304" spans="1:19" x14ac:dyDescent="0.3">
      <c r="A304">
        <v>200010076</v>
      </c>
      <c r="B304" s="18">
        <v>273723367</v>
      </c>
      <c r="C304" s="22">
        <v>46251</v>
      </c>
      <c r="D304" s="19">
        <v>875192824849</v>
      </c>
      <c r="E304" s="37">
        <v>43034</v>
      </c>
      <c r="F304" t="s">
        <v>41</v>
      </c>
      <c r="G304">
        <v>5.5</v>
      </c>
      <c r="H304">
        <v>53</v>
      </c>
      <c r="I304">
        <v>27</v>
      </c>
      <c r="J304">
        <v>23</v>
      </c>
      <c r="K304">
        <v>5.5</v>
      </c>
      <c r="L304" t="s">
        <v>19</v>
      </c>
      <c r="M304">
        <v>2494</v>
      </c>
      <c r="N304">
        <v>363</v>
      </c>
      <c r="O304" s="8">
        <v>180</v>
      </c>
      <c r="P304">
        <v>1257.0999999999999</v>
      </c>
      <c r="Q304" s="5">
        <f t="shared" si="13"/>
        <v>0.41392821863681262</v>
      </c>
      <c r="R304" s="26">
        <f t="shared" si="14"/>
        <v>4294.1000000000004</v>
      </c>
      <c r="S304" s="27">
        <f t="shared" si="15"/>
        <v>5067.0380000000005</v>
      </c>
    </row>
    <row r="305" spans="1:19" x14ac:dyDescent="0.3">
      <c r="A305">
        <v>200010076</v>
      </c>
      <c r="B305" s="18">
        <v>273723367</v>
      </c>
      <c r="C305" s="22">
        <v>46251</v>
      </c>
      <c r="D305" s="19">
        <v>875192825661</v>
      </c>
      <c r="E305" s="37">
        <v>43051</v>
      </c>
      <c r="F305" t="s">
        <v>41</v>
      </c>
      <c r="G305">
        <v>3</v>
      </c>
      <c r="H305">
        <v>45</v>
      </c>
      <c r="I305">
        <v>19</v>
      </c>
      <c r="J305">
        <v>19</v>
      </c>
      <c r="K305">
        <v>3</v>
      </c>
      <c r="L305" t="s">
        <v>19</v>
      </c>
      <c r="M305">
        <v>1700.6</v>
      </c>
      <c r="N305">
        <v>198</v>
      </c>
      <c r="O305" s="8">
        <v>180</v>
      </c>
      <c r="P305">
        <v>835.4</v>
      </c>
      <c r="Q305" s="5">
        <f t="shared" si="13"/>
        <v>0.40190512845184262</v>
      </c>
      <c r="R305" s="26">
        <f t="shared" si="14"/>
        <v>2914</v>
      </c>
      <c r="S305" s="27">
        <f t="shared" si="15"/>
        <v>3438.52</v>
      </c>
    </row>
    <row r="306" spans="1:19" x14ac:dyDescent="0.3">
      <c r="A306">
        <v>200010076</v>
      </c>
      <c r="B306" s="18">
        <v>273723367</v>
      </c>
      <c r="C306" s="22">
        <v>46251</v>
      </c>
      <c r="D306" s="19">
        <v>875192825856</v>
      </c>
      <c r="E306" s="37">
        <v>43075</v>
      </c>
      <c r="F306" t="s">
        <v>41</v>
      </c>
      <c r="G306">
        <v>3</v>
      </c>
      <c r="H306">
        <v>44</v>
      </c>
      <c r="I306">
        <v>19</v>
      </c>
      <c r="J306">
        <v>19</v>
      </c>
      <c r="K306">
        <v>3</v>
      </c>
      <c r="L306" t="s">
        <v>19</v>
      </c>
      <c r="M306">
        <v>1700.6</v>
      </c>
      <c r="N306">
        <v>198</v>
      </c>
      <c r="O306" s="8">
        <v>180</v>
      </c>
      <c r="P306">
        <v>835.4</v>
      </c>
      <c r="Q306" s="5">
        <f t="shared" si="13"/>
        <v>0.40190512845184262</v>
      </c>
      <c r="R306" s="26">
        <f t="shared" si="14"/>
        <v>2914</v>
      </c>
      <c r="S306" s="27">
        <f t="shared" si="15"/>
        <v>3438.52</v>
      </c>
    </row>
    <row r="307" spans="1:19" x14ac:dyDescent="0.3">
      <c r="A307">
        <v>200010076</v>
      </c>
      <c r="B307" s="18">
        <v>273723367</v>
      </c>
      <c r="C307" s="22">
        <v>46251</v>
      </c>
      <c r="D307" s="19">
        <v>875192827138</v>
      </c>
      <c r="E307" s="37">
        <v>43067</v>
      </c>
      <c r="F307" t="s">
        <v>41</v>
      </c>
      <c r="G307">
        <v>7</v>
      </c>
      <c r="H307">
        <v>64</v>
      </c>
      <c r="I307">
        <v>26</v>
      </c>
      <c r="J307">
        <v>25</v>
      </c>
      <c r="K307">
        <v>7</v>
      </c>
      <c r="L307" t="s">
        <v>19</v>
      </c>
      <c r="M307">
        <v>2839.2</v>
      </c>
      <c r="N307">
        <v>462</v>
      </c>
      <c r="O307" s="8">
        <v>180</v>
      </c>
      <c r="P307">
        <v>1452.5</v>
      </c>
      <c r="Q307" s="5">
        <f t="shared" si="13"/>
        <v>0.41724118120188441</v>
      </c>
      <c r="R307" s="26">
        <f t="shared" si="14"/>
        <v>4933.7</v>
      </c>
      <c r="S307" s="27">
        <f t="shared" si="15"/>
        <v>5821.7659999999996</v>
      </c>
    </row>
    <row r="308" spans="1:19" x14ac:dyDescent="0.3">
      <c r="A308">
        <v>200010076</v>
      </c>
      <c r="B308" s="18">
        <v>273723367</v>
      </c>
      <c r="C308" s="22">
        <v>46251</v>
      </c>
      <c r="D308" s="19">
        <v>875192827470</v>
      </c>
      <c r="E308" s="37">
        <v>43082</v>
      </c>
      <c r="F308" t="s">
        <v>41</v>
      </c>
      <c r="G308">
        <v>6.5</v>
      </c>
      <c r="H308">
        <v>79</v>
      </c>
      <c r="I308">
        <v>23</v>
      </c>
      <c r="J308">
        <v>20</v>
      </c>
      <c r="K308">
        <v>6.5</v>
      </c>
      <c r="L308" t="s">
        <v>19</v>
      </c>
      <c r="M308">
        <v>2724.1</v>
      </c>
      <c r="N308">
        <v>429</v>
      </c>
      <c r="O308" s="8">
        <v>180</v>
      </c>
      <c r="P308" s="8">
        <v>1387.4</v>
      </c>
      <c r="Q308" s="5">
        <f t="shared" si="13"/>
        <v>0.41624913743962083</v>
      </c>
      <c r="R308" s="26">
        <f t="shared" si="14"/>
        <v>4720.5</v>
      </c>
      <c r="S308" s="27">
        <f t="shared" si="15"/>
        <v>5570.19</v>
      </c>
    </row>
    <row r="309" spans="1:19" x14ac:dyDescent="0.3">
      <c r="A309">
        <v>200010076</v>
      </c>
      <c r="B309" s="18">
        <v>273723367</v>
      </c>
      <c r="C309" s="22">
        <v>46251</v>
      </c>
      <c r="D309" s="19">
        <v>875192828502</v>
      </c>
      <c r="E309" s="37">
        <v>4119636520</v>
      </c>
      <c r="F309" t="s">
        <v>41</v>
      </c>
      <c r="G309">
        <v>6</v>
      </c>
      <c r="H309">
        <v>65</v>
      </c>
      <c r="I309">
        <v>23</v>
      </c>
      <c r="J309">
        <v>23</v>
      </c>
      <c r="K309">
        <v>6</v>
      </c>
      <c r="L309" t="s">
        <v>19</v>
      </c>
      <c r="M309">
        <v>2609.1</v>
      </c>
      <c r="N309">
        <v>396</v>
      </c>
      <c r="O309" s="8">
        <v>180</v>
      </c>
      <c r="P309">
        <v>1322.2</v>
      </c>
      <c r="Q309" s="5">
        <f t="shared" si="13"/>
        <v>0.41512040438290793</v>
      </c>
      <c r="R309" s="26">
        <f t="shared" si="14"/>
        <v>4507.3</v>
      </c>
      <c r="S309" s="27">
        <f t="shared" si="15"/>
        <v>5318.6139999999996</v>
      </c>
    </row>
    <row r="310" spans="1:19" x14ac:dyDescent="0.3">
      <c r="A310">
        <v>200010076</v>
      </c>
      <c r="B310" s="18">
        <v>273723367</v>
      </c>
      <c r="C310" s="22">
        <v>46251</v>
      </c>
      <c r="D310" s="19">
        <v>875192829325</v>
      </c>
      <c r="E310" s="37">
        <v>7871761</v>
      </c>
      <c r="F310" t="s">
        <v>41</v>
      </c>
      <c r="G310">
        <v>2.9</v>
      </c>
      <c r="H310">
        <v>36</v>
      </c>
      <c r="I310">
        <v>28</v>
      </c>
      <c r="J310">
        <v>15</v>
      </c>
      <c r="K310">
        <v>2.9</v>
      </c>
      <c r="L310" t="s">
        <v>19</v>
      </c>
      <c r="M310">
        <v>1700.6</v>
      </c>
      <c r="N310">
        <v>198</v>
      </c>
      <c r="O310" s="8">
        <v>180</v>
      </c>
      <c r="P310" s="8">
        <v>835.4</v>
      </c>
      <c r="Q310" s="5">
        <f t="shared" si="13"/>
        <v>0.40190512845184262</v>
      </c>
      <c r="R310" s="26">
        <f t="shared" si="14"/>
        <v>2914</v>
      </c>
      <c r="S310" s="27">
        <f t="shared" si="15"/>
        <v>3438.52</v>
      </c>
    </row>
    <row r="311" spans="1:19" x14ac:dyDescent="0.3">
      <c r="A311">
        <v>200010076</v>
      </c>
      <c r="B311" s="18">
        <v>273723367</v>
      </c>
      <c r="C311" s="22">
        <v>46251</v>
      </c>
      <c r="D311" s="19">
        <v>875192830811</v>
      </c>
      <c r="E311" s="37">
        <v>43167</v>
      </c>
      <c r="F311" t="s">
        <v>41</v>
      </c>
      <c r="G311">
        <v>4.5</v>
      </c>
      <c r="H311">
        <v>55</v>
      </c>
      <c r="I311">
        <v>22</v>
      </c>
      <c r="J311">
        <v>20</v>
      </c>
      <c r="K311">
        <v>4.5</v>
      </c>
      <c r="L311" t="s">
        <v>19</v>
      </c>
      <c r="M311">
        <v>2098.9</v>
      </c>
      <c r="N311">
        <v>297</v>
      </c>
      <c r="O311" s="8">
        <v>180</v>
      </c>
      <c r="P311" s="8">
        <v>1054.2</v>
      </c>
      <c r="Q311" s="5">
        <f t="shared" si="13"/>
        <v>0.40925501766372918</v>
      </c>
      <c r="R311" s="26">
        <f t="shared" si="14"/>
        <v>3630.1000000000004</v>
      </c>
      <c r="S311" s="27">
        <f t="shared" si="15"/>
        <v>4283.518</v>
      </c>
    </row>
    <row r="312" spans="1:19" x14ac:dyDescent="0.3">
      <c r="A312">
        <v>200010076</v>
      </c>
      <c r="B312" s="18">
        <v>273723367</v>
      </c>
      <c r="C312" s="22">
        <v>46251</v>
      </c>
      <c r="D312" s="19">
        <v>875192831163</v>
      </c>
      <c r="E312" s="37">
        <v>43184</v>
      </c>
      <c r="F312" t="s">
        <v>41</v>
      </c>
      <c r="G312">
        <v>4</v>
      </c>
      <c r="H312">
        <v>55</v>
      </c>
      <c r="I312">
        <v>21</v>
      </c>
      <c r="J312">
        <v>20</v>
      </c>
      <c r="K312">
        <v>4</v>
      </c>
      <c r="L312" t="s">
        <v>19</v>
      </c>
      <c r="M312">
        <v>1966.1</v>
      </c>
      <c r="N312">
        <v>264</v>
      </c>
      <c r="O312" s="8">
        <v>180</v>
      </c>
      <c r="P312" s="8">
        <v>981.2</v>
      </c>
      <c r="Q312" s="5">
        <f t="shared" si="13"/>
        <v>0.40712003651300777</v>
      </c>
      <c r="R312" s="26">
        <f t="shared" si="14"/>
        <v>3391.3</v>
      </c>
      <c r="S312" s="27">
        <f t="shared" si="15"/>
        <v>4001.7339999999999</v>
      </c>
    </row>
    <row r="313" spans="1:19" x14ac:dyDescent="0.3">
      <c r="A313">
        <v>200010076</v>
      </c>
      <c r="B313" s="18">
        <v>273723367</v>
      </c>
      <c r="C313" s="22">
        <v>46251</v>
      </c>
      <c r="D313" s="19">
        <v>875192832295</v>
      </c>
      <c r="E313" s="37">
        <v>43188</v>
      </c>
      <c r="F313" t="s">
        <v>41</v>
      </c>
      <c r="G313">
        <v>5</v>
      </c>
      <c r="H313">
        <v>41</v>
      </c>
      <c r="I313">
        <v>24</v>
      </c>
      <c r="J313">
        <v>24</v>
      </c>
      <c r="K313">
        <v>5</v>
      </c>
      <c r="L313" t="s">
        <v>19</v>
      </c>
      <c r="M313">
        <v>2231.6999999999998</v>
      </c>
      <c r="N313">
        <v>330</v>
      </c>
      <c r="O313" s="8">
        <v>180</v>
      </c>
      <c r="P313" s="8">
        <v>1127.2</v>
      </c>
      <c r="Q313" s="5">
        <f t="shared" si="13"/>
        <v>0.41113177955283225</v>
      </c>
      <c r="R313" s="26">
        <f t="shared" si="14"/>
        <v>3868.8999999999996</v>
      </c>
      <c r="S313" s="27">
        <f t="shared" si="15"/>
        <v>4565.3019999999997</v>
      </c>
    </row>
    <row r="314" spans="1:19" x14ac:dyDescent="0.3">
      <c r="A314">
        <v>200010076</v>
      </c>
      <c r="B314" s="18">
        <v>273723367</v>
      </c>
      <c r="C314" s="22">
        <v>46251</v>
      </c>
      <c r="D314" s="19">
        <v>875192832939</v>
      </c>
      <c r="E314" s="37">
        <v>7871772</v>
      </c>
      <c r="F314" t="s">
        <v>41</v>
      </c>
      <c r="G314">
        <v>3</v>
      </c>
      <c r="H314">
        <v>35</v>
      </c>
      <c r="I314">
        <v>32</v>
      </c>
      <c r="J314">
        <v>10</v>
      </c>
      <c r="K314">
        <v>3</v>
      </c>
      <c r="L314" t="s">
        <v>19</v>
      </c>
      <c r="M314">
        <v>1700.6</v>
      </c>
      <c r="N314">
        <v>198</v>
      </c>
      <c r="O314" s="8">
        <v>180</v>
      </c>
      <c r="P314">
        <v>835.4</v>
      </c>
      <c r="Q314" s="5">
        <f t="shared" si="13"/>
        <v>0.40190512845184262</v>
      </c>
      <c r="R314" s="26">
        <f t="shared" si="14"/>
        <v>2914</v>
      </c>
      <c r="S314" s="27">
        <f t="shared" si="15"/>
        <v>3438.52</v>
      </c>
    </row>
    <row r="315" spans="1:19" x14ac:dyDescent="0.3">
      <c r="A315">
        <v>200010076</v>
      </c>
      <c r="B315" s="18">
        <v>273723367</v>
      </c>
      <c r="C315" s="22">
        <v>46251</v>
      </c>
      <c r="D315" s="19">
        <v>875192834450</v>
      </c>
      <c r="E315" s="37">
        <v>43245</v>
      </c>
      <c r="F315" t="s">
        <v>41</v>
      </c>
      <c r="G315">
        <v>3.18</v>
      </c>
      <c r="H315">
        <v>65</v>
      </c>
      <c r="I315">
        <v>22</v>
      </c>
      <c r="J315">
        <v>20</v>
      </c>
      <c r="K315">
        <v>4.8</v>
      </c>
      <c r="L315" t="s">
        <v>19</v>
      </c>
      <c r="M315">
        <v>2231.6999999999998</v>
      </c>
      <c r="N315">
        <v>330</v>
      </c>
      <c r="O315" s="8">
        <v>180</v>
      </c>
      <c r="P315" s="8">
        <v>1127.2</v>
      </c>
      <c r="Q315" s="5">
        <f t="shared" si="13"/>
        <v>0.41113177955283225</v>
      </c>
      <c r="R315" s="26">
        <f t="shared" si="14"/>
        <v>3868.8999999999996</v>
      </c>
      <c r="S315" s="27">
        <f t="shared" si="15"/>
        <v>4565.3019999999997</v>
      </c>
    </row>
    <row r="316" spans="1:19" x14ac:dyDescent="0.3">
      <c r="A316">
        <v>200010076</v>
      </c>
      <c r="B316" s="18">
        <v>273723367</v>
      </c>
      <c r="C316" s="22">
        <v>46251</v>
      </c>
      <c r="D316" s="19">
        <v>875192835504</v>
      </c>
      <c r="E316" s="37">
        <v>43266</v>
      </c>
      <c r="F316" t="s">
        <v>41</v>
      </c>
      <c r="G316">
        <v>2</v>
      </c>
      <c r="H316">
        <v>51</v>
      </c>
      <c r="I316">
        <v>15</v>
      </c>
      <c r="J316">
        <v>14</v>
      </c>
      <c r="K316">
        <v>2</v>
      </c>
      <c r="L316" t="s">
        <v>19</v>
      </c>
      <c r="M316">
        <v>1512.5</v>
      </c>
      <c r="N316">
        <v>132</v>
      </c>
      <c r="O316" s="8">
        <v>180</v>
      </c>
      <c r="P316">
        <v>723.6</v>
      </c>
      <c r="Q316" s="5">
        <f t="shared" si="13"/>
        <v>0.3966018087147164</v>
      </c>
      <c r="R316" s="26">
        <f t="shared" si="14"/>
        <v>2548.1</v>
      </c>
      <c r="S316" s="27">
        <f t="shared" si="15"/>
        <v>3006.7579999999998</v>
      </c>
    </row>
    <row r="317" spans="1:19" x14ac:dyDescent="0.3">
      <c r="A317">
        <v>200010076</v>
      </c>
      <c r="B317" s="18">
        <v>273723367</v>
      </c>
      <c r="C317" s="22">
        <v>46251</v>
      </c>
      <c r="D317" s="19">
        <v>875192836989</v>
      </c>
      <c r="E317" s="37">
        <v>43288</v>
      </c>
      <c r="F317" t="s">
        <v>41</v>
      </c>
      <c r="G317">
        <v>4.5</v>
      </c>
      <c r="H317">
        <v>45</v>
      </c>
      <c r="I317">
        <v>23</v>
      </c>
      <c r="J317">
        <v>22</v>
      </c>
      <c r="K317">
        <v>4.5</v>
      </c>
      <c r="L317" t="s">
        <v>19</v>
      </c>
      <c r="M317">
        <v>2098.9</v>
      </c>
      <c r="N317">
        <v>297</v>
      </c>
      <c r="O317" s="8">
        <v>180</v>
      </c>
      <c r="P317" s="8">
        <v>1054.2</v>
      </c>
      <c r="Q317" s="5">
        <f t="shared" si="13"/>
        <v>0.40925501766372918</v>
      </c>
      <c r="R317" s="26">
        <f t="shared" si="14"/>
        <v>3630.1000000000004</v>
      </c>
      <c r="S317" s="27">
        <f t="shared" si="15"/>
        <v>4283.518</v>
      </c>
    </row>
    <row r="318" spans="1:19" x14ac:dyDescent="0.3">
      <c r="A318">
        <v>200010076</v>
      </c>
      <c r="B318" s="18">
        <v>273723367</v>
      </c>
      <c r="C318" s="22">
        <v>46251</v>
      </c>
      <c r="D318" s="19">
        <v>875192838157</v>
      </c>
      <c r="E318" s="37">
        <v>7871783</v>
      </c>
      <c r="F318" t="s">
        <v>41</v>
      </c>
      <c r="G318">
        <v>3</v>
      </c>
      <c r="H318">
        <v>34</v>
      </c>
      <c r="I318">
        <v>26</v>
      </c>
      <c r="J318">
        <v>10</v>
      </c>
      <c r="K318">
        <v>3</v>
      </c>
      <c r="L318" t="s">
        <v>19</v>
      </c>
      <c r="M318">
        <v>1700.6</v>
      </c>
      <c r="N318">
        <v>198</v>
      </c>
      <c r="O318" s="8">
        <v>180</v>
      </c>
      <c r="P318" s="8">
        <v>835.4</v>
      </c>
      <c r="Q318" s="5">
        <f t="shared" si="13"/>
        <v>0.40190512845184262</v>
      </c>
      <c r="R318" s="26">
        <f t="shared" si="14"/>
        <v>2914</v>
      </c>
      <c r="S318" s="27">
        <f t="shared" si="15"/>
        <v>3438.52</v>
      </c>
    </row>
    <row r="319" spans="1:19" x14ac:dyDescent="0.3">
      <c r="A319">
        <v>200010076</v>
      </c>
      <c r="B319" s="18">
        <v>273723367</v>
      </c>
      <c r="C319" s="22">
        <v>46251</v>
      </c>
      <c r="D319" s="19">
        <v>875192839977</v>
      </c>
      <c r="E319" s="37">
        <v>4122322915</v>
      </c>
      <c r="F319" t="s">
        <v>41</v>
      </c>
      <c r="G319">
        <v>7.5</v>
      </c>
      <c r="H319">
        <v>79</v>
      </c>
      <c r="I319">
        <v>24</v>
      </c>
      <c r="J319">
        <v>22</v>
      </c>
      <c r="K319">
        <v>7.5</v>
      </c>
      <c r="L319" t="s">
        <v>19</v>
      </c>
      <c r="M319">
        <v>2954.2</v>
      </c>
      <c r="N319">
        <v>495</v>
      </c>
      <c r="O319" s="8">
        <v>0</v>
      </c>
      <c r="P319">
        <v>1517.7</v>
      </c>
      <c r="Q319" s="5">
        <f t="shared" si="13"/>
        <v>0.44001507595964284</v>
      </c>
      <c r="R319" s="26">
        <f t="shared" si="14"/>
        <v>4966.8999999999996</v>
      </c>
      <c r="S319" s="27">
        <f t="shared" si="15"/>
        <v>5860.9419999999991</v>
      </c>
    </row>
    <row r="320" spans="1:19" x14ac:dyDescent="0.3">
      <c r="A320">
        <v>200010076</v>
      </c>
      <c r="B320" s="18">
        <v>273723367</v>
      </c>
      <c r="C320" s="22">
        <v>46251</v>
      </c>
      <c r="D320" s="19">
        <v>875192841750</v>
      </c>
      <c r="E320" s="37">
        <v>4121472078</v>
      </c>
      <c r="F320" t="s">
        <v>41</v>
      </c>
      <c r="G320">
        <v>1.5</v>
      </c>
      <c r="H320">
        <v>40</v>
      </c>
      <c r="I320">
        <v>14</v>
      </c>
      <c r="J320">
        <v>12</v>
      </c>
      <c r="K320">
        <v>1.5</v>
      </c>
      <c r="L320" t="s">
        <v>19</v>
      </c>
      <c r="M320">
        <v>1353.7</v>
      </c>
      <c r="N320">
        <v>99</v>
      </c>
      <c r="O320" s="8">
        <v>0</v>
      </c>
      <c r="P320" s="8">
        <v>639.20000000000005</v>
      </c>
      <c r="Q320" s="5">
        <f t="shared" si="13"/>
        <v>0.44000826048048464</v>
      </c>
      <c r="R320" s="26">
        <f t="shared" si="14"/>
        <v>2091.9</v>
      </c>
      <c r="S320" s="27">
        <f t="shared" si="15"/>
        <v>2468.442</v>
      </c>
    </row>
    <row r="321" spans="1:19" x14ac:dyDescent="0.3">
      <c r="A321">
        <v>200010076</v>
      </c>
      <c r="B321" s="18">
        <v>273723367</v>
      </c>
      <c r="C321" s="22">
        <v>46251</v>
      </c>
      <c r="D321" s="19">
        <v>875192842470</v>
      </c>
      <c r="E321" s="37">
        <v>7871796</v>
      </c>
      <c r="F321" t="s">
        <v>41</v>
      </c>
      <c r="G321">
        <v>1.63</v>
      </c>
      <c r="H321">
        <v>36</v>
      </c>
      <c r="I321">
        <v>17</v>
      </c>
      <c r="J321">
        <v>10</v>
      </c>
      <c r="K321">
        <v>1.6</v>
      </c>
      <c r="L321" t="s">
        <v>19</v>
      </c>
      <c r="M321">
        <v>1512.5</v>
      </c>
      <c r="N321">
        <v>132</v>
      </c>
      <c r="O321" s="8">
        <v>180</v>
      </c>
      <c r="P321" s="8">
        <v>723.6</v>
      </c>
      <c r="Q321" s="5">
        <f t="shared" si="13"/>
        <v>0.3966018087147164</v>
      </c>
      <c r="R321" s="26">
        <f t="shared" si="14"/>
        <v>2548.1</v>
      </c>
      <c r="S321" s="27">
        <f t="shared" si="15"/>
        <v>3006.7579999999998</v>
      </c>
    </row>
    <row r="322" spans="1:19" x14ac:dyDescent="0.3">
      <c r="A322">
        <v>200010076</v>
      </c>
      <c r="B322" s="18">
        <v>273723367</v>
      </c>
      <c r="C322" s="22">
        <v>46251</v>
      </c>
      <c r="D322" s="19">
        <v>875192843487</v>
      </c>
      <c r="E322" s="37">
        <v>43348</v>
      </c>
      <c r="F322" t="s">
        <v>41</v>
      </c>
      <c r="G322">
        <v>2.5</v>
      </c>
      <c r="H322">
        <v>37</v>
      </c>
      <c r="I322">
        <v>19</v>
      </c>
      <c r="J322">
        <v>19</v>
      </c>
      <c r="K322">
        <v>2.5</v>
      </c>
      <c r="L322" t="s">
        <v>19</v>
      </c>
      <c r="M322">
        <v>1671.3</v>
      </c>
      <c r="N322">
        <v>165</v>
      </c>
      <c r="O322" s="8">
        <v>180</v>
      </c>
      <c r="P322" s="8">
        <v>808</v>
      </c>
      <c r="Q322" s="5">
        <f t="shared" si="13"/>
        <v>0.40073401775529438</v>
      </c>
      <c r="R322" s="26">
        <f t="shared" si="14"/>
        <v>2824.3</v>
      </c>
      <c r="S322" s="27">
        <f t="shared" si="15"/>
        <v>3332.674</v>
      </c>
    </row>
    <row r="323" spans="1:19" x14ac:dyDescent="0.3">
      <c r="A323">
        <v>200010076</v>
      </c>
      <c r="B323" s="18">
        <v>273723367</v>
      </c>
      <c r="C323" s="22">
        <v>46251</v>
      </c>
      <c r="D323" s="19">
        <v>875192846361</v>
      </c>
      <c r="E323" s="37">
        <v>43420</v>
      </c>
      <c r="F323" t="s">
        <v>41</v>
      </c>
      <c r="G323">
        <v>3.5</v>
      </c>
      <c r="H323">
        <v>39</v>
      </c>
      <c r="I323">
        <v>23</v>
      </c>
      <c r="J323">
        <v>22</v>
      </c>
      <c r="K323">
        <v>3.5</v>
      </c>
      <c r="L323" t="s">
        <v>19</v>
      </c>
      <c r="M323">
        <v>1833.3</v>
      </c>
      <c r="N323">
        <v>231</v>
      </c>
      <c r="O323" s="8">
        <v>180</v>
      </c>
      <c r="P323" s="8">
        <v>908.3</v>
      </c>
      <c r="Q323" s="5">
        <f t="shared" si="13"/>
        <v>0.40471416477298039</v>
      </c>
      <c r="R323" s="26">
        <f t="shared" si="14"/>
        <v>3152.6000000000004</v>
      </c>
      <c r="S323" s="27">
        <f t="shared" si="15"/>
        <v>3720.0680000000002</v>
      </c>
    </row>
    <row r="324" spans="1:19" x14ac:dyDescent="0.3">
      <c r="A324">
        <v>200010076</v>
      </c>
      <c r="B324" s="18">
        <v>273723367</v>
      </c>
      <c r="C324" s="22">
        <v>46251</v>
      </c>
      <c r="D324" s="19">
        <v>875192848240</v>
      </c>
      <c r="E324" s="37">
        <v>43422</v>
      </c>
      <c r="F324" t="s">
        <v>41</v>
      </c>
      <c r="G324">
        <v>3.5</v>
      </c>
      <c r="H324">
        <v>46</v>
      </c>
      <c r="I324">
        <v>21</v>
      </c>
      <c r="J324">
        <v>19</v>
      </c>
      <c r="K324">
        <v>3.5</v>
      </c>
      <c r="L324" t="s">
        <v>19</v>
      </c>
      <c r="M324">
        <v>1833.3</v>
      </c>
      <c r="N324">
        <v>231</v>
      </c>
      <c r="O324" s="8">
        <v>180</v>
      </c>
      <c r="P324" s="8">
        <v>908.3</v>
      </c>
      <c r="Q324" s="5">
        <f t="shared" si="13"/>
        <v>0.40471416477298039</v>
      </c>
      <c r="R324" s="26">
        <f t="shared" si="14"/>
        <v>3152.6000000000004</v>
      </c>
      <c r="S324" s="27">
        <f t="shared" si="15"/>
        <v>3720.0680000000002</v>
      </c>
    </row>
    <row r="325" spans="1:19" x14ac:dyDescent="0.3">
      <c r="A325">
        <v>200010076</v>
      </c>
      <c r="B325" s="18">
        <v>273723367</v>
      </c>
      <c r="C325" s="22">
        <v>46251</v>
      </c>
      <c r="D325" s="19">
        <v>875192849636</v>
      </c>
      <c r="E325" s="37">
        <v>43431</v>
      </c>
      <c r="F325" t="s">
        <v>41</v>
      </c>
      <c r="G325">
        <v>4</v>
      </c>
      <c r="H325">
        <v>47</v>
      </c>
      <c r="I325">
        <v>23</v>
      </c>
      <c r="J325">
        <v>20</v>
      </c>
      <c r="K325">
        <v>4</v>
      </c>
      <c r="L325" t="s">
        <v>19</v>
      </c>
      <c r="M325">
        <v>1966.1</v>
      </c>
      <c r="N325">
        <v>264</v>
      </c>
      <c r="O325" s="8">
        <v>180</v>
      </c>
      <c r="P325" s="8">
        <v>981.2</v>
      </c>
      <c r="Q325" s="5">
        <f t="shared" ref="Q325:Q374" si="16">+P325/SUM(M325:O325)</f>
        <v>0.40712003651300777</v>
      </c>
      <c r="R325" s="26">
        <f t="shared" ref="R325:R374" si="17">SUM(M325:P325)</f>
        <v>3391.3</v>
      </c>
      <c r="S325" s="27">
        <f t="shared" ref="S325:S374" si="18">+R325*1.18</f>
        <v>4001.7339999999999</v>
      </c>
    </row>
    <row r="326" spans="1:19" x14ac:dyDescent="0.3">
      <c r="A326">
        <v>200010076</v>
      </c>
      <c r="B326" s="18">
        <v>273723367</v>
      </c>
      <c r="C326" s="22">
        <v>46251</v>
      </c>
      <c r="D326" s="19">
        <v>875192851658</v>
      </c>
      <c r="E326" s="37">
        <v>43445</v>
      </c>
      <c r="F326" t="s">
        <v>41</v>
      </c>
      <c r="G326">
        <v>2.5</v>
      </c>
      <c r="H326">
        <v>34</v>
      </c>
      <c r="I326">
        <v>20</v>
      </c>
      <c r="J326">
        <v>13</v>
      </c>
      <c r="K326">
        <v>2.5</v>
      </c>
      <c r="L326" t="s">
        <v>19</v>
      </c>
      <c r="M326">
        <v>1671.3</v>
      </c>
      <c r="N326">
        <v>165</v>
      </c>
      <c r="O326">
        <v>0</v>
      </c>
      <c r="P326">
        <v>808</v>
      </c>
      <c r="Q326" s="5">
        <f t="shared" si="16"/>
        <v>0.44001524805315034</v>
      </c>
      <c r="R326" s="26">
        <f t="shared" si="17"/>
        <v>2644.3</v>
      </c>
      <c r="S326" s="27">
        <f t="shared" si="18"/>
        <v>3120.2739999999999</v>
      </c>
    </row>
    <row r="327" spans="1:19" x14ac:dyDescent="0.3">
      <c r="A327">
        <v>200010076</v>
      </c>
      <c r="B327" s="18">
        <v>273723367</v>
      </c>
      <c r="C327" s="22">
        <v>46251</v>
      </c>
      <c r="D327" s="19">
        <v>875192852850</v>
      </c>
      <c r="E327" s="37">
        <v>43457</v>
      </c>
      <c r="F327" t="s">
        <v>41</v>
      </c>
      <c r="G327">
        <v>5</v>
      </c>
      <c r="H327">
        <v>49</v>
      </c>
      <c r="I327">
        <v>24</v>
      </c>
      <c r="J327">
        <v>23</v>
      </c>
      <c r="K327">
        <v>5</v>
      </c>
      <c r="L327" t="s">
        <v>19</v>
      </c>
      <c r="M327">
        <v>2231.6999999999998</v>
      </c>
      <c r="N327">
        <v>330</v>
      </c>
      <c r="O327">
        <v>180</v>
      </c>
      <c r="P327">
        <v>1127.2</v>
      </c>
      <c r="Q327" s="5">
        <f t="shared" si="16"/>
        <v>0.41113177955283225</v>
      </c>
      <c r="R327" s="26">
        <f t="shared" si="17"/>
        <v>3868.8999999999996</v>
      </c>
      <c r="S327" s="27">
        <f t="shared" si="18"/>
        <v>4565.3019999999997</v>
      </c>
    </row>
    <row r="328" spans="1:19" x14ac:dyDescent="0.3">
      <c r="A328">
        <v>200010076</v>
      </c>
      <c r="B328" s="18">
        <v>273723367</v>
      </c>
      <c r="C328" s="22">
        <v>46251</v>
      </c>
      <c r="D328" s="19">
        <v>875192854911</v>
      </c>
      <c r="E328" s="37">
        <v>43474</v>
      </c>
      <c r="F328" t="s">
        <v>41</v>
      </c>
      <c r="G328">
        <v>5.5</v>
      </c>
      <c r="H328">
        <v>50</v>
      </c>
      <c r="I328">
        <v>25</v>
      </c>
      <c r="J328">
        <v>24</v>
      </c>
      <c r="K328">
        <v>5.5</v>
      </c>
      <c r="L328" t="s">
        <v>19</v>
      </c>
      <c r="M328">
        <v>2494</v>
      </c>
      <c r="N328">
        <v>363</v>
      </c>
      <c r="O328">
        <v>180</v>
      </c>
      <c r="P328">
        <v>1257.0999999999999</v>
      </c>
      <c r="Q328" s="5">
        <f t="shared" si="16"/>
        <v>0.41392821863681262</v>
      </c>
      <c r="R328" s="26">
        <f t="shared" si="17"/>
        <v>4294.1000000000004</v>
      </c>
      <c r="S328" s="27">
        <f t="shared" si="18"/>
        <v>5067.0380000000005</v>
      </c>
    </row>
    <row r="329" spans="1:19" x14ac:dyDescent="0.3">
      <c r="A329">
        <v>200010076</v>
      </c>
      <c r="B329" s="18">
        <v>273723367</v>
      </c>
      <c r="C329" s="22">
        <v>46251</v>
      </c>
      <c r="D329" s="19">
        <v>875192855859</v>
      </c>
      <c r="E329" s="37">
        <v>43475</v>
      </c>
      <c r="F329" t="s">
        <v>41</v>
      </c>
      <c r="G329">
        <v>6.5</v>
      </c>
      <c r="H329">
        <v>71</v>
      </c>
      <c r="I329">
        <v>23</v>
      </c>
      <c r="J329">
        <v>22</v>
      </c>
      <c r="K329">
        <v>6.5</v>
      </c>
      <c r="L329" t="s">
        <v>19</v>
      </c>
      <c r="M329">
        <v>2724.1</v>
      </c>
      <c r="N329">
        <v>429</v>
      </c>
      <c r="O329">
        <v>180</v>
      </c>
      <c r="P329" s="8">
        <v>1387.4</v>
      </c>
      <c r="Q329" s="5">
        <f t="shared" si="16"/>
        <v>0.41624913743962083</v>
      </c>
      <c r="R329" s="26">
        <f t="shared" si="17"/>
        <v>4720.5</v>
      </c>
      <c r="S329" s="27">
        <f t="shared" si="18"/>
        <v>5570.19</v>
      </c>
    </row>
    <row r="330" spans="1:19" x14ac:dyDescent="0.3">
      <c r="A330">
        <v>200010076</v>
      </c>
      <c r="B330" s="18">
        <v>273723367</v>
      </c>
      <c r="C330" s="22">
        <v>46251</v>
      </c>
      <c r="D330" s="19">
        <v>875192856649</v>
      </c>
      <c r="E330" s="37">
        <v>43491</v>
      </c>
      <c r="F330" t="s">
        <v>41</v>
      </c>
      <c r="G330">
        <v>2.5</v>
      </c>
      <c r="H330">
        <v>29</v>
      </c>
      <c r="I330">
        <v>28</v>
      </c>
      <c r="J330">
        <v>15</v>
      </c>
      <c r="K330">
        <v>2.5</v>
      </c>
      <c r="L330" t="s">
        <v>19</v>
      </c>
      <c r="M330">
        <v>1671.3</v>
      </c>
      <c r="N330">
        <v>165</v>
      </c>
      <c r="O330">
        <v>180</v>
      </c>
      <c r="P330">
        <v>808</v>
      </c>
      <c r="Q330" s="5">
        <f t="shared" si="16"/>
        <v>0.40073401775529438</v>
      </c>
      <c r="R330" s="26">
        <f t="shared" si="17"/>
        <v>2824.3</v>
      </c>
      <c r="S330" s="27">
        <f t="shared" si="18"/>
        <v>3332.674</v>
      </c>
    </row>
    <row r="331" spans="1:19" x14ac:dyDescent="0.3">
      <c r="A331">
        <v>200010076</v>
      </c>
      <c r="B331" s="18">
        <v>273723367</v>
      </c>
      <c r="C331" s="22">
        <v>46251</v>
      </c>
      <c r="D331" s="19">
        <v>875192856693</v>
      </c>
      <c r="E331" s="37">
        <v>43510</v>
      </c>
      <c r="F331" t="s">
        <v>41</v>
      </c>
      <c r="G331">
        <v>1.5</v>
      </c>
      <c r="H331">
        <v>36</v>
      </c>
      <c r="I331">
        <v>21</v>
      </c>
      <c r="J331">
        <v>10</v>
      </c>
      <c r="K331">
        <v>1.5</v>
      </c>
      <c r="L331" t="s">
        <v>19</v>
      </c>
      <c r="M331">
        <v>1353.7</v>
      </c>
      <c r="N331">
        <v>99</v>
      </c>
      <c r="O331">
        <v>180</v>
      </c>
      <c r="P331">
        <v>639.20000000000005</v>
      </c>
      <c r="Q331" s="5">
        <f t="shared" si="16"/>
        <v>0.39149874441109822</v>
      </c>
      <c r="R331" s="26">
        <f t="shared" si="17"/>
        <v>2271.9</v>
      </c>
      <c r="S331" s="27">
        <f t="shared" si="18"/>
        <v>2680.8420000000001</v>
      </c>
    </row>
    <row r="332" spans="1:19" x14ac:dyDescent="0.3">
      <c r="A332">
        <v>200010076</v>
      </c>
      <c r="B332" s="18">
        <v>273723367</v>
      </c>
      <c r="C332" s="22">
        <v>46251</v>
      </c>
      <c r="D332" s="19">
        <v>875192858619</v>
      </c>
      <c r="E332" s="37">
        <v>43511</v>
      </c>
      <c r="F332" t="s">
        <v>41</v>
      </c>
      <c r="G332">
        <v>9.5</v>
      </c>
      <c r="H332">
        <v>60</v>
      </c>
      <c r="I332">
        <v>31</v>
      </c>
      <c r="J332">
        <v>30</v>
      </c>
      <c r="K332">
        <v>9.5</v>
      </c>
      <c r="L332" t="s">
        <v>19</v>
      </c>
      <c r="M332">
        <v>3414.5</v>
      </c>
      <c r="N332">
        <v>627</v>
      </c>
      <c r="O332">
        <v>180</v>
      </c>
      <c r="P332">
        <v>1778.3</v>
      </c>
      <c r="Q332" s="5">
        <f t="shared" si="16"/>
        <v>0.42124837143195548</v>
      </c>
      <c r="R332" s="26">
        <f t="shared" si="17"/>
        <v>5999.8</v>
      </c>
      <c r="S332" s="27">
        <f t="shared" si="18"/>
        <v>7079.7640000000001</v>
      </c>
    </row>
    <row r="333" spans="1:19" x14ac:dyDescent="0.3">
      <c r="A333">
        <v>200010076</v>
      </c>
      <c r="B333" s="18">
        <v>273723367</v>
      </c>
      <c r="C333" s="22">
        <v>46251</v>
      </c>
      <c r="D333" s="19">
        <v>875192860001</v>
      </c>
      <c r="E333" s="37">
        <v>43523</v>
      </c>
      <c r="F333" t="s">
        <v>41</v>
      </c>
      <c r="G333">
        <v>3.5</v>
      </c>
      <c r="H333">
        <v>50</v>
      </c>
      <c r="I333">
        <v>21</v>
      </c>
      <c r="J333">
        <v>19</v>
      </c>
      <c r="K333">
        <v>3.5</v>
      </c>
      <c r="L333" t="s">
        <v>19</v>
      </c>
      <c r="M333">
        <v>1833.3</v>
      </c>
      <c r="N333">
        <v>231</v>
      </c>
      <c r="O333" s="8">
        <v>180</v>
      </c>
      <c r="P333" s="8">
        <v>908.3</v>
      </c>
      <c r="Q333" s="5">
        <f t="shared" si="16"/>
        <v>0.40471416477298039</v>
      </c>
      <c r="R333" s="26">
        <f t="shared" si="17"/>
        <v>3152.6000000000004</v>
      </c>
      <c r="S333" s="27">
        <f t="shared" si="18"/>
        <v>3720.0680000000002</v>
      </c>
    </row>
    <row r="334" spans="1:19" x14ac:dyDescent="0.3">
      <c r="A334">
        <v>200010076</v>
      </c>
      <c r="B334" s="18">
        <v>273723367</v>
      </c>
      <c r="C334" s="22">
        <v>46251</v>
      </c>
      <c r="D334" s="19">
        <v>875192862298</v>
      </c>
      <c r="E334" s="37">
        <v>43534</v>
      </c>
      <c r="F334" t="s">
        <v>41</v>
      </c>
      <c r="G334">
        <v>11.5</v>
      </c>
      <c r="H334">
        <v>83</v>
      </c>
      <c r="I334">
        <v>28</v>
      </c>
      <c r="J334">
        <v>28</v>
      </c>
      <c r="K334">
        <v>11.5</v>
      </c>
      <c r="L334" t="s">
        <v>19</v>
      </c>
      <c r="M334">
        <v>4916.5</v>
      </c>
      <c r="N334">
        <v>759</v>
      </c>
      <c r="O334">
        <v>180</v>
      </c>
      <c r="P334">
        <v>2497.1999999999998</v>
      </c>
      <c r="Q334" s="5">
        <f t="shared" si="16"/>
        <v>0.42647083938177777</v>
      </c>
      <c r="R334" s="26">
        <f t="shared" si="17"/>
        <v>8352.7000000000007</v>
      </c>
      <c r="S334" s="27">
        <f t="shared" si="18"/>
        <v>9856.1859999999997</v>
      </c>
    </row>
    <row r="335" spans="1:19" x14ac:dyDescent="0.3">
      <c r="A335">
        <v>200010076</v>
      </c>
      <c r="B335" s="18">
        <v>273723367</v>
      </c>
      <c r="C335" s="22">
        <v>46251</v>
      </c>
      <c r="D335" s="19">
        <v>875192874361</v>
      </c>
      <c r="E335" s="37">
        <v>4119847840</v>
      </c>
      <c r="F335" t="s">
        <v>41</v>
      </c>
      <c r="G335">
        <v>10.5</v>
      </c>
      <c r="H335">
        <v>68</v>
      </c>
      <c r="I335">
        <v>31</v>
      </c>
      <c r="J335">
        <v>30</v>
      </c>
      <c r="K335">
        <v>10.5</v>
      </c>
      <c r="L335" t="s">
        <v>19</v>
      </c>
      <c r="M335">
        <v>4818.8999999999996</v>
      </c>
      <c r="N335">
        <v>693</v>
      </c>
      <c r="O335" s="8">
        <v>180</v>
      </c>
      <c r="P335" s="8">
        <v>2425.1999999999998</v>
      </c>
      <c r="Q335" s="5">
        <f t="shared" si="16"/>
        <v>0.42607916512939442</v>
      </c>
      <c r="R335" s="26">
        <f t="shared" si="17"/>
        <v>8117.0999999999995</v>
      </c>
      <c r="S335" s="27">
        <f t="shared" si="18"/>
        <v>9578.1779999999981</v>
      </c>
    </row>
    <row r="336" spans="1:19" x14ac:dyDescent="0.3">
      <c r="A336">
        <v>200010076</v>
      </c>
      <c r="B336" s="18">
        <v>273723367</v>
      </c>
      <c r="C336" s="22">
        <v>46251</v>
      </c>
      <c r="D336" s="19">
        <v>875192876066</v>
      </c>
      <c r="E336" s="37">
        <v>7871580</v>
      </c>
      <c r="F336" t="s">
        <v>41</v>
      </c>
      <c r="G336">
        <v>28</v>
      </c>
      <c r="H336">
        <v>40</v>
      </c>
      <c r="I336">
        <v>38</v>
      </c>
      <c r="J336">
        <v>29</v>
      </c>
      <c r="K336">
        <v>27.7</v>
      </c>
      <c r="L336" t="s">
        <v>19</v>
      </c>
      <c r="M336">
        <v>11047.1</v>
      </c>
      <c r="N336">
        <v>1848</v>
      </c>
      <c r="O336" s="8">
        <v>0</v>
      </c>
      <c r="P336" s="8">
        <v>5673.8</v>
      </c>
      <c r="Q336" s="5">
        <f t="shared" si="16"/>
        <v>0.43999658785119927</v>
      </c>
      <c r="R336" s="26">
        <f t="shared" si="17"/>
        <v>18568.900000000001</v>
      </c>
      <c r="S336" s="27">
        <f t="shared" si="18"/>
        <v>21911.302</v>
      </c>
    </row>
    <row r="337" spans="1:19" x14ac:dyDescent="0.3">
      <c r="A337">
        <v>200010076</v>
      </c>
      <c r="B337" s="18">
        <v>273723367</v>
      </c>
      <c r="C337" s="22">
        <v>46251</v>
      </c>
      <c r="D337" s="19">
        <v>875160517133</v>
      </c>
      <c r="E337" s="37">
        <v>43528</v>
      </c>
      <c r="F337" t="s">
        <v>41</v>
      </c>
      <c r="G337">
        <v>0.45</v>
      </c>
      <c r="K337">
        <v>0.5</v>
      </c>
      <c r="L337" t="s">
        <v>19</v>
      </c>
      <c r="M337">
        <v>1031.7</v>
      </c>
      <c r="N337">
        <v>42.5</v>
      </c>
      <c r="O337" s="8">
        <v>0</v>
      </c>
      <c r="P337" s="8">
        <v>472.7</v>
      </c>
      <c r="Q337" s="5">
        <f t="shared" si="16"/>
        <v>0.44004840811766893</v>
      </c>
      <c r="R337" s="26">
        <f t="shared" si="17"/>
        <v>1546.9</v>
      </c>
      <c r="S337" s="27">
        <f t="shared" si="18"/>
        <v>1825.3420000000001</v>
      </c>
    </row>
    <row r="338" spans="1:19" x14ac:dyDescent="0.3">
      <c r="A338">
        <v>200010076</v>
      </c>
      <c r="B338" s="18">
        <v>273723367</v>
      </c>
      <c r="C338" s="22">
        <v>46251</v>
      </c>
      <c r="D338" s="19">
        <v>875160530509</v>
      </c>
      <c r="E338" s="37">
        <v>43630</v>
      </c>
      <c r="F338" t="s">
        <v>41</v>
      </c>
      <c r="G338">
        <v>0.5</v>
      </c>
      <c r="K338">
        <v>0.5</v>
      </c>
      <c r="L338" t="s">
        <v>19</v>
      </c>
      <c r="M338">
        <v>1031.7</v>
      </c>
      <c r="N338">
        <v>42.5</v>
      </c>
      <c r="O338" s="8">
        <v>0</v>
      </c>
      <c r="P338" s="8">
        <v>472.7</v>
      </c>
      <c r="Q338" s="5">
        <f t="shared" si="16"/>
        <v>0.44004840811766893</v>
      </c>
      <c r="R338" s="26">
        <f t="shared" si="17"/>
        <v>1546.9</v>
      </c>
      <c r="S338" s="27">
        <f t="shared" si="18"/>
        <v>1825.3420000000001</v>
      </c>
    </row>
    <row r="339" spans="1:19" x14ac:dyDescent="0.3">
      <c r="A339">
        <v>200010076</v>
      </c>
      <c r="B339" s="18">
        <v>273723367</v>
      </c>
      <c r="C339" s="22">
        <v>46251</v>
      </c>
      <c r="D339" s="19">
        <v>875160537992</v>
      </c>
      <c r="E339" s="37">
        <v>43632</v>
      </c>
      <c r="F339" t="s">
        <v>41</v>
      </c>
      <c r="G339">
        <v>0.5</v>
      </c>
      <c r="K339">
        <v>0.5</v>
      </c>
      <c r="L339" t="s">
        <v>19</v>
      </c>
      <c r="M339">
        <v>1031.7</v>
      </c>
      <c r="N339">
        <v>42.5</v>
      </c>
      <c r="O339" s="8">
        <v>0</v>
      </c>
      <c r="P339">
        <v>472.7</v>
      </c>
      <c r="Q339" s="5">
        <f t="shared" si="16"/>
        <v>0.44004840811766893</v>
      </c>
      <c r="R339" s="26">
        <f t="shared" si="17"/>
        <v>1546.9</v>
      </c>
      <c r="S339" s="27">
        <f t="shared" si="18"/>
        <v>1825.3420000000001</v>
      </c>
    </row>
    <row r="340" spans="1:19" x14ac:dyDescent="0.3">
      <c r="A340">
        <v>200010076</v>
      </c>
      <c r="B340" s="18">
        <v>273723367</v>
      </c>
      <c r="C340" s="22">
        <v>46251</v>
      </c>
      <c r="D340" s="19">
        <v>875160545372</v>
      </c>
      <c r="E340" s="37">
        <v>43707</v>
      </c>
      <c r="F340" t="s">
        <v>41</v>
      </c>
      <c r="G340">
        <v>0.5</v>
      </c>
      <c r="K340">
        <v>0.5</v>
      </c>
      <c r="L340" t="s">
        <v>19</v>
      </c>
      <c r="M340">
        <v>1031.7</v>
      </c>
      <c r="N340">
        <v>42.5</v>
      </c>
      <c r="O340" s="8">
        <v>0</v>
      </c>
      <c r="P340" s="8">
        <v>472.7</v>
      </c>
      <c r="Q340" s="5">
        <f t="shared" si="16"/>
        <v>0.44004840811766893</v>
      </c>
      <c r="R340" s="26">
        <f t="shared" si="17"/>
        <v>1546.9</v>
      </c>
      <c r="S340" s="27">
        <f t="shared" si="18"/>
        <v>1825.3420000000001</v>
      </c>
    </row>
    <row r="341" spans="1:19" x14ac:dyDescent="0.3">
      <c r="A341">
        <v>200010076</v>
      </c>
      <c r="B341" s="18">
        <v>273723367</v>
      </c>
      <c r="C341" s="22">
        <v>46251</v>
      </c>
      <c r="D341" s="19">
        <v>875160548500</v>
      </c>
      <c r="E341" s="37">
        <v>43718</v>
      </c>
      <c r="F341" t="s">
        <v>41</v>
      </c>
      <c r="G341">
        <v>0.5</v>
      </c>
      <c r="K341">
        <v>0.5</v>
      </c>
      <c r="L341" t="s">
        <v>19</v>
      </c>
      <c r="M341">
        <v>1031.7</v>
      </c>
      <c r="N341">
        <v>42.5</v>
      </c>
      <c r="O341" s="8">
        <v>0</v>
      </c>
      <c r="P341">
        <v>472.7</v>
      </c>
      <c r="Q341" s="5">
        <f t="shared" si="16"/>
        <v>0.44004840811766893</v>
      </c>
      <c r="R341" s="26">
        <f t="shared" si="17"/>
        <v>1546.9</v>
      </c>
      <c r="S341" s="27">
        <f t="shared" si="18"/>
        <v>1825.3420000000001</v>
      </c>
    </row>
    <row r="342" spans="1:19" x14ac:dyDescent="0.3">
      <c r="A342">
        <v>200010076</v>
      </c>
      <c r="B342" s="18">
        <v>273723367</v>
      </c>
      <c r="C342" s="22">
        <v>46251</v>
      </c>
      <c r="D342" s="19">
        <v>875160555307</v>
      </c>
      <c r="E342" s="37">
        <v>43741</v>
      </c>
      <c r="F342" t="s">
        <v>41</v>
      </c>
      <c r="G342">
        <v>0.5</v>
      </c>
      <c r="K342">
        <v>0.5</v>
      </c>
      <c r="L342" t="s">
        <v>19</v>
      </c>
      <c r="M342">
        <v>1031.7</v>
      </c>
      <c r="N342">
        <v>42.5</v>
      </c>
      <c r="O342" s="8">
        <v>0</v>
      </c>
      <c r="P342" s="8">
        <v>472.7</v>
      </c>
      <c r="Q342" s="5">
        <f t="shared" si="16"/>
        <v>0.44004840811766893</v>
      </c>
      <c r="R342" s="26">
        <f t="shared" si="17"/>
        <v>1546.9</v>
      </c>
      <c r="S342" s="27">
        <f t="shared" si="18"/>
        <v>1825.3420000000001</v>
      </c>
    </row>
    <row r="343" spans="1:19" x14ac:dyDescent="0.3">
      <c r="A343">
        <v>200010076</v>
      </c>
      <c r="B343" s="18">
        <v>273723367</v>
      </c>
      <c r="C343" s="22">
        <v>46251</v>
      </c>
      <c r="D343" s="19">
        <v>875160559026</v>
      </c>
      <c r="E343" s="37">
        <v>43750</v>
      </c>
      <c r="F343" t="s">
        <v>41</v>
      </c>
      <c r="G343">
        <v>0.5</v>
      </c>
      <c r="K343">
        <v>0.5</v>
      </c>
      <c r="L343" t="s">
        <v>19</v>
      </c>
      <c r="M343">
        <v>1031.7</v>
      </c>
      <c r="N343">
        <v>42.5</v>
      </c>
      <c r="O343" s="8">
        <v>0</v>
      </c>
      <c r="P343" s="8">
        <v>472.7</v>
      </c>
      <c r="Q343" s="5">
        <f t="shared" si="16"/>
        <v>0.44004840811766893</v>
      </c>
      <c r="R343" s="26">
        <f t="shared" si="17"/>
        <v>1546.9</v>
      </c>
      <c r="S343" s="27">
        <f t="shared" si="18"/>
        <v>1825.3420000000001</v>
      </c>
    </row>
    <row r="344" spans="1:19" x14ac:dyDescent="0.3">
      <c r="A344">
        <v>200010076</v>
      </c>
      <c r="B344" s="18">
        <v>273723367</v>
      </c>
      <c r="C344" s="22">
        <v>46251</v>
      </c>
      <c r="D344" s="19">
        <v>875160562673</v>
      </c>
      <c r="E344" s="37">
        <v>43786</v>
      </c>
      <c r="F344" t="s">
        <v>41</v>
      </c>
      <c r="G344">
        <v>0.5</v>
      </c>
      <c r="K344">
        <v>0.5</v>
      </c>
      <c r="L344" t="s">
        <v>19</v>
      </c>
      <c r="M344">
        <v>1031.7</v>
      </c>
      <c r="N344">
        <v>42.5</v>
      </c>
      <c r="O344" s="8">
        <v>0</v>
      </c>
      <c r="P344" s="8">
        <v>472.7</v>
      </c>
      <c r="Q344" s="5">
        <f t="shared" si="16"/>
        <v>0.44004840811766893</v>
      </c>
      <c r="R344" s="26">
        <f t="shared" si="17"/>
        <v>1546.9</v>
      </c>
      <c r="S344" s="27">
        <f t="shared" si="18"/>
        <v>1825.3420000000001</v>
      </c>
    </row>
    <row r="345" spans="1:19" x14ac:dyDescent="0.3">
      <c r="A345">
        <v>200010076</v>
      </c>
      <c r="B345" s="18">
        <v>273723367</v>
      </c>
      <c r="C345" s="22">
        <v>46251</v>
      </c>
      <c r="D345" s="19">
        <v>875160565639</v>
      </c>
      <c r="E345" s="37">
        <v>43795</v>
      </c>
      <c r="F345" t="s">
        <v>41</v>
      </c>
      <c r="G345">
        <v>0.5</v>
      </c>
      <c r="K345">
        <v>0.5</v>
      </c>
      <c r="L345" t="s">
        <v>19</v>
      </c>
      <c r="M345">
        <v>1031.7</v>
      </c>
      <c r="N345">
        <v>42.5</v>
      </c>
      <c r="O345" s="8">
        <v>0</v>
      </c>
      <c r="P345" s="8">
        <v>472.7</v>
      </c>
      <c r="Q345" s="5">
        <f t="shared" si="16"/>
        <v>0.44004840811766893</v>
      </c>
      <c r="R345" s="26">
        <f t="shared" si="17"/>
        <v>1546.9</v>
      </c>
      <c r="S345" s="27">
        <f t="shared" si="18"/>
        <v>1825.3420000000001</v>
      </c>
    </row>
    <row r="346" spans="1:19" x14ac:dyDescent="0.3">
      <c r="A346">
        <v>200010076</v>
      </c>
      <c r="B346" s="18">
        <v>273723367</v>
      </c>
      <c r="C346" s="22">
        <v>46251</v>
      </c>
      <c r="D346" s="19">
        <v>875160569792</v>
      </c>
      <c r="E346" s="37">
        <v>43800</v>
      </c>
      <c r="F346" t="s">
        <v>41</v>
      </c>
      <c r="G346">
        <v>0.5</v>
      </c>
      <c r="K346">
        <v>0.5</v>
      </c>
      <c r="L346" t="s">
        <v>19</v>
      </c>
      <c r="M346">
        <v>1031.7</v>
      </c>
      <c r="N346">
        <v>42.5</v>
      </c>
      <c r="O346" s="8">
        <v>0</v>
      </c>
      <c r="P346" s="8">
        <v>472.7</v>
      </c>
      <c r="Q346" s="5">
        <f t="shared" si="16"/>
        <v>0.44004840811766893</v>
      </c>
      <c r="R346" s="26">
        <f t="shared" si="17"/>
        <v>1546.9</v>
      </c>
      <c r="S346" s="27">
        <f t="shared" si="18"/>
        <v>1825.3420000000001</v>
      </c>
    </row>
    <row r="347" spans="1:19" x14ac:dyDescent="0.3">
      <c r="A347">
        <v>200010076</v>
      </c>
      <c r="B347" s="18">
        <v>273723367</v>
      </c>
      <c r="C347" s="22">
        <v>46251</v>
      </c>
      <c r="D347" s="19">
        <v>875160572891</v>
      </c>
      <c r="E347" s="37">
        <v>43811</v>
      </c>
      <c r="F347" t="s">
        <v>41</v>
      </c>
      <c r="G347">
        <v>0.5</v>
      </c>
      <c r="K347">
        <v>0.5</v>
      </c>
      <c r="L347" t="s">
        <v>19</v>
      </c>
      <c r="M347">
        <v>1031.7</v>
      </c>
      <c r="N347">
        <v>42.5</v>
      </c>
      <c r="O347" s="8">
        <v>0</v>
      </c>
      <c r="P347">
        <v>472.7</v>
      </c>
      <c r="Q347" s="5">
        <f t="shared" si="16"/>
        <v>0.44004840811766893</v>
      </c>
      <c r="R347" s="26">
        <f t="shared" si="17"/>
        <v>1546.9</v>
      </c>
      <c r="S347" s="27">
        <f t="shared" si="18"/>
        <v>1825.3420000000001</v>
      </c>
    </row>
    <row r="348" spans="1:19" x14ac:dyDescent="0.3">
      <c r="A348">
        <v>200010076</v>
      </c>
      <c r="B348" s="18">
        <v>273723367</v>
      </c>
      <c r="C348" s="22">
        <v>46251</v>
      </c>
      <c r="D348" s="19">
        <v>875160577459</v>
      </c>
      <c r="E348" s="37">
        <v>43822</v>
      </c>
      <c r="F348" t="s">
        <v>41</v>
      </c>
      <c r="G348">
        <v>0.5</v>
      </c>
      <c r="K348">
        <v>0.5</v>
      </c>
      <c r="L348" t="s">
        <v>19</v>
      </c>
      <c r="M348">
        <v>1031.7</v>
      </c>
      <c r="N348">
        <v>42.5</v>
      </c>
      <c r="O348" s="8">
        <v>0</v>
      </c>
      <c r="P348" s="8">
        <v>472.7</v>
      </c>
      <c r="Q348" s="5">
        <f t="shared" si="16"/>
        <v>0.44004840811766893</v>
      </c>
      <c r="R348" s="26">
        <f t="shared" si="17"/>
        <v>1546.9</v>
      </c>
      <c r="S348" s="27">
        <f t="shared" si="18"/>
        <v>1825.3420000000001</v>
      </c>
    </row>
    <row r="349" spans="1:19" x14ac:dyDescent="0.3">
      <c r="A349">
        <v>200010076</v>
      </c>
      <c r="B349" s="18">
        <v>273723367</v>
      </c>
      <c r="C349" s="22">
        <v>46251</v>
      </c>
      <c r="D349" s="19">
        <v>875160581554</v>
      </c>
      <c r="E349" s="37">
        <v>43833</v>
      </c>
      <c r="F349" t="s">
        <v>41</v>
      </c>
      <c r="G349">
        <v>0.5</v>
      </c>
      <c r="K349">
        <v>0.5</v>
      </c>
      <c r="L349" t="s">
        <v>19</v>
      </c>
      <c r="M349">
        <v>1031.7</v>
      </c>
      <c r="N349">
        <v>42.5</v>
      </c>
      <c r="O349" s="8">
        <v>0</v>
      </c>
      <c r="P349" s="8">
        <v>472.7</v>
      </c>
      <c r="Q349" s="5">
        <f t="shared" si="16"/>
        <v>0.44004840811766893</v>
      </c>
      <c r="R349" s="26">
        <f t="shared" si="17"/>
        <v>1546.9</v>
      </c>
      <c r="S349" s="27">
        <f t="shared" si="18"/>
        <v>1825.3420000000001</v>
      </c>
    </row>
    <row r="350" spans="1:19" x14ac:dyDescent="0.3">
      <c r="A350">
        <v>200010076</v>
      </c>
      <c r="B350" s="18">
        <v>273723367</v>
      </c>
      <c r="C350" s="22">
        <v>46251</v>
      </c>
      <c r="D350" s="19">
        <v>875160583811</v>
      </c>
      <c r="E350" s="37">
        <v>43840</v>
      </c>
      <c r="F350" t="s">
        <v>41</v>
      </c>
      <c r="G350">
        <v>0.5</v>
      </c>
      <c r="K350">
        <v>0.5</v>
      </c>
      <c r="L350" t="s">
        <v>19</v>
      </c>
      <c r="M350">
        <v>1031.7</v>
      </c>
      <c r="N350">
        <v>42.5</v>
      </c>
      <c r="O350" s="8">
        <v>0</v>
      </c>
      <c r="P350">
        <v>472.7</v>
      </c>
      <c r="Q350" s="5">
        <f t="shared" si="16"/>
        <v>0.44004840811766893</v>
      </c>
      <c r="R350" s="26">
        <f t="shared" si="17"/>
        <v>1546.9</v>
      </c>
      <c r="S350" s="27">
        <f t="shared" si="18"/>
        <v>1825.3420000000001</v>
      </c>
    </row>
    <row r="351" spans="1:19" x14ac:dyDescent="0.3">
      <c r="A351">
        <v>200010076</v>
      </c>
      <c r="B351" s="18">
        <v>273723367</v>
      </c>
      <c r="C351" s="22">
        <v>46251</v>
      </c>
      <c r="D351" s="19">
        <v>875192859199</v>
      </c>
      <c r="E351" s="37">
        <v>43512</v>
      </c>
      <c r="F351" t="s">
        <v>41</v>
      </c>
      <c r="G351">
        <v>0.5</v>
      </c>
      <c r="K351">
        <v>0.5</v>
      </c>
      <c r="L351" t="s">
        <v>19</v>
      </c>
      <c r="M351">
        <v>1031.7</v>
      </c>
      <c r="N351">
        <v>42.5</v>
      </c>
      <c r="O351" s="8">
        <v>0</v>
      </c>
      <c r="P351">
        <v>472.7</v>
      </c>
      <c r="Q351" s="5">
        <f t="shared" si="16"/>
        <v>0.44004840811766893</v>
      </c>
      <c r="R351" s="26">
        <f t="shared" si="17"/>
        <v>1546.9</v>
      </c>
      <c r="S351" s="27">
        <f t="shared" si="18"/>
        <v>1825.3420000000001</v>
      </c>
    </row>
    <row r="352" spans="1:19" x14ac:dyDescent="0.3">
      <c r="A352">
        <v>200010076</v>
      </c>
      <c r="B352" s="18">
        <v>273723367</v>
      </c>
      <c r="C352" s="22">
        <v>46251</v>
      </c>
      <c r="D352" s="19">
        <v>875192860571</v>
      </c>
      <c r="E352" s="37">
        <v>43772</v>
      </c>
      <c r="F352" t="s">
        <v>41</v>
      </c>
      <c r="G352">
        <v>0.5</v>
      </c>
      <c r="K352">
        <v>0.5</v>
      </c>
      <c r="L352" t="s">
        <v>19</v>
      </c>
      <c r="M352">
        <v>1031.7</v>
      </c>
      <c r="N352">
        <v>42.5</v>
      </c>
      <c r="O352" s="8">
        <v>0</v>
      </c>
      <c r="P352">
        <v>472.7</v>
      </c>
      <c r="Q352" s="5">
        <f t="shared" si="16"/>
        <v>0.44004840811766893</v>
      </c>
      <c r="R352" s="26">
        <f t="shared" si="17"/>
        <v>1546.9</v>
      </c>
      <c r="S352" s="27">
        <f t="shared" si="18"/>
        <v>1825.3420000000001</v>
      </c>
    </row>
    <row r="353" spans="1:19" x14ac:dyDescent="0.3">
      <c r="A353">
        <v>200010076</v>
      </c>
      <c r="B353" s="18">
        <v>273723367</v>
      </c>
      <c r="C353" s="22">
        <v>46251</v>
      </c>
      <c r="D353" s="19">
        <v>875192864990</v>
      </c>
      <c r="E353" s="37">
        <v>43792</v>
      </c>
      <c r="F353" t="s">
        <v>41</v>
      </c>
      <c r="G353">
        <v>0.5</v>
      </c>
      <c r="K353">
        <v>0.5</v>
      </c>
      <c r="L353" t="s">
        <v>19</v>
      </c>
      <c r="M353">
        <v>1031.7</v>
      </c>
      <c r="N353">
        <v>42.5</v>
      </c>
      <c r="O353" s="8">
        <v>0</v>
      </c>
      <c r="P353" s="8">
        <v>472.7</v>
      </c>
      <c r="Q353" s="5">
        <f t="shared" si="16"/>
        <v>0.44004840811766893</v>
      </c>
      <c r="R353" s="26">
        <f t="shared" si="17"/>
        <v>1546.9</v>
      </c>
      <c r="S353" s="27">
        <f t="shared" si="18"/>
        <v>1825.3420000000001</v>
      </c>
    </row>
    <row r="354" spans="1:19" x14ac:dyDescent="0.3">
      <c r="A354">
        <v>200010076</v>
      </c>
      <c r="B354" s="18">
        <v>273723367</v>
      </c>
      <c r="C354" s="22">
        <v>46251</v>
      </c>
      <c r="D354" s="19">
        <v>875192865551</v>
      </c>
      <c r="E354" s="37">
        <v>43831</v>
      </c>
      <c r="F354" t="s">
        <v>41</v>
      </c>
      <c r="G354">
        <v>0.5</v>
      </c>
      <c r="K354">
        <v>0.5</v>
      </c>
      <c r="L354" t="s">
        <v>19</v>
      </c>
      <c r="M354">
        <v>1031.7</v>
      </c>
      <c r="N354">
        <v>42.5</v>
      </c>
      <c r="O354" s="8">
        <v>0</v>
      </c>
      <c r="P354">
        <v>472.7</v>
      </c>
      <c r="Q354" s="5">
        <f t="shared" si="16"/>
        <v>0.44004840811766893</v>
      </c>
      <c r="R354" s="26">
        <f t="shared" si="17"/>
        <v>1546.9</v>
      </c>
      <c r="S354" s="27">
        <f t="shared" si="18"/>
        <v>1825.3420000000001</v>
      </c>
    </row>
    <row r="355" spans="1:19" x14ac:dyDescent="0.3">
      <c r="A355">
        <v>200010076</v>
      </c>
      <c r="B355" s="18">
        <v>273723367</v>
      </c>
      <c r="C355" s="22">
        <v>46251</v>
      </c>
      <c r="D355" s="19">
        <v>875192866271</v>
      </c>
      <c r="E355" s="37">
        <v>43834</v>
      </c>
      <c r="F355" t="s">
        <v>41</v>
      </c>
      <c r="G355">
        <v>0.5</v>
      </c>
      <c r="K355">
        <v>0.5</v>
      </c>
      <c r="L355" t="s">
        <v>19</v>
      </c>
      <c r="M355">
        <v>1031.7</v>
      </c>
      <c r="N355">
        <v>42.5</v>
      </c>
      <c r="O355" s="8">
        <v>0</v>
      </c>
      <c r="P355" s="8">
        <v>472.7</v>
      </c>
      <c r="Q355" s="5">
        <f t="shared" si="16"/>
        <v>0.44004840811766893</v>
      </c>
      <c r="R355" s="26">
        <f t="shared" si="17"/>
        <v>1546.9</v>
      </c>
      <c r="S355" s="27">
        <f t="shared" si="18"/>
        <v>1825.3420000000001</v>
      </c>
    </row>
    <row r="356" spans="1:19" x14ac:dyDescent="0.3">
      <c r="A356">
        <v>200010076</v>
      </c>
      <c r="B356" s="18">
        <v>273723367</v>
      </c>
      <c r="C356" s="22">
        <v>46251</v>
      </c>
      <c r="D356" s="19">
        <v>875192867418</v>
      </c>
      <c r="E356" s="37">
        <v>43856</v>
      </c>
      <c r="F356" t="s">
        <v>41</v>
      </c>
      <c r="G356">
        <v>0.5</v>
      </c>
      <c r="K356">
        <v>0.5</v>
      </c>
      <c r="L356" t="s">
        <v>19</v>
      </c>
      <c r="M356">
        <v>1031.7</v>
      </c>
      <c r="N356">
        <v>42.5</v>
      </c>
      <c r="O356" s="8">
        <v>0</v>
      </c>
      <c r="P356">
        <v>472.7</v>
      </c>
      <c r="Q356" s="5">
        <f t="shared" si="16"/>
        <v>0.44004840811766893</v>
      </c>
      <c r="R356" s="26">
        <f t="shared" si="17"/>
        <v>1546.9</v>
      </c>
      <c r="S356" s="27">
        <f t="shared" si="18"/>
        <v>1825.3420000000001</v>
      </c>
    </row>
    <row r="357" spans="1:19" x14ac:dyDescent="0.3">
      <c r="A357">
        <v>200010076</v>
      </c>
      <c r="B357" s="18">
        <v>273723367</v>
      </c>
      <c r="C357" s="22">
        <v>46251</v>
      </c>
      <c r="D357" s="19">
        <v>875192868208</v>
      </c>
      <c r="E357" s="37">
        <v>43872</v>
      </c>
      <c r="F357" t="s">
        <v>41</v>
      </c>
      <c r="G357">
        <v>0.5</v>
      </c>
      <c r="K357">
        <v>0.5</v>
      </c>
      <c r="L357" t="s">
        <v>19</v>
      </c>
      <c r="M357">
        <v>1031.7</v>
      </c>
      <c r="N357">
        <v>42.5</v>
      </c>
      <c r="O357" s="8">
        <v>0</v>
      </c>
      <c r="P357" s="8">
        <v>472.7</v>
      </c>
      <c r="Q357" s="5">
        <f t="shared" si="16"/>
        <v>0.44004840811766893</v>
      </c>
      <c r="R357" s="26">
        <f t="shared" si="17"/>
        <v>1546.9</v>
      </c>
      <c r="S357" s="27">
        <f t="shared" si="18"/>
        <v>1825.3420000000001</v>
      </c>
    </row>
    <row r="358" spans="1:19" x14ac:dyDescent="0.3">
      <c r="A358">
        <v>200010076</v>
      </c>
      <c r="B358" s="18">
        <v>273723367</v>
      </c>
      <c r="C358" s="22">
        <v>46251</v>
      </c>
      <c r="D358" s="19">
        <v>875192869010</v>
      </c>
      <c r="E358" s="37">
        <v>43893</v>
      </c>
      <c r="F358" t="s">
        <v>41</v>
      </c>
      <c r="G358">
        <v>0.45</v>
      </c>
      <c r="K358">
        <v>0.5</v>
      </c>
      <c r="L358" t="s">
        <v>19</v>
      </c>
      <c r="M358">
        <v>1031.7</v>
      </c>
      <c r="N358">
        <v>42.5</v>
      </c>
      <c r="O358" s="8">
        <v>0</v>
      </c>
      <c r="P358" s="8">
        <v>472.7</v>
      </c>
      <c r="Q358" s="5">
        <f t="shared" si="16"/>
        <v>0.44004840811766893</v>
      </c>
      <c r="R358" s="26">
        <f t="shared" si="17"/>
        <v>1546.9</v>
      </c>
      <c r="S358" s="27">
        <f t="shared" si="18"/>
        <v>1825.3420000000001</v>
      </c>
    </row>
    <row r="359" spans="1:19" x14ac:dyDescent="0.3">
      <c r="A359">
        <v>200010076</v>
      </c>
      <c r="B359" s="18">
        <v>273723367</v>
      </c>
      <c r="C359" s="22">
        <v>46251</v>
      </c>
      <c r="D359" s="19">
        <v>875192869190</v>
      </c>
      <c r="E359" s="37">
        <v>43916</v>
      </c>
      <c r="F359" t="s">
        <v>41</v>
      </c>
      <c r="G359">
        <v>0.5</v>
      </c>
      <c r="K359">
        <v>0.5</v>
      </c>
      <c r="L359" t="s">
        <v>19</v>
      </c>
      <c r="M359">
        <v>1031.7</v>
      </c>
      <c r="N359">
        <v>42.5</v>
      </c>
      <c r="O359" s="8">
        <v>0</v>
      </c>
      <c r="P359" s="8">
        <v>472.7</v>
      </c>
      <c r="Q359" s="5">
        <f t="shared" si="16"/>
        <v>0.44004840811766893</v>
      </c>
      <c r="R359" s="26">
        <f t="shared" si="17"/>
        <v>1546.9</v>
      </c>
      <c r="S359" s="27">
        <f t="shared" si="18"/>
        <v>1825.3420000000001</v>
      </c>
    </row>
    <row r="360" spans="1:19" x14ac:dyDescent="0.3">
      <c r="A360">
        <v>200010076</v>
      </c>
      <c r="B360" s="18">
        <v>273723367</v>
      </c>
      <c r="C360" s="22">
        <v>46251</v>
      </c>
      <c r="D360" s="19">
        <v>875192871307</v>
      </c>
      <c r="E360" s="37">
        <v>43937</v>
      </c>
      <c r="F360" t="s">
        <v>41</v>
      </c>
      <c r="G360">
        <v>0.5</v>
      </c>
      <c r="K360">
        <v>0.5</v>
      </c>
      <c r="L360" t="s">
        <v>19</v>
      </c>
      <c r="M360">
        <v>1031.7</v>
      </c>
      <c r="N360">
        <v>42.5</v>
      </c>
      <c r="O360" s="8">
        <v>0</v>
      </c>
      <c r="P360" s="8">
        <v>472.7</v>
      </c>
      <c r="Q360" s="5">
        <f t="shared" si="16"/>
        <v>0.44004840811766893</v>
      </c>
      <c r="R360" s="26">
        <f t="shared" si="17"/>
        <v>1546.9</v>
      </c>
      <c r="S360" s="27">
        <f t="shared" si="18"/>
        <v>1825.3420000000001</v>
      </c>
    </row>
    <row r="361" spans="1:19" x14ac:dyDescent="0.3">
      <c r="A361">
        <v>200010076</v>
      </c>
      <c r="B361" s="18">
        <v>273723367</v>
      </c>
      <c r="C361" s="22">
        <v>46251</v>
      </c>
      <c r="D361" s="19">
        <v>875192871638</v>
      </c>
      <c r="E361" s="37">
        <v>43939</v>
      </c>
      <c r="F361" t="s">
        <v>41</v>
      </c>
      <c r="G361">
        <v>0.5</v>
      </c>
      <c r="K361">
        <v>0.5</v>
      </c>
      <c r="L361" t="s">
        <v>19</v>
      </c>
      <c r="M361">
        <v>1031.7</v>
      </c>
      <c r="N361">
        <v>42.5</v>
      </c>
      <c r="O361" s="8">
        <v>0</v>
      </c>
      <c r="P361">
        <v>472.7</v>
      </c>
      <c r="Q361" s="5">
        <f t="shared" si="16"/>
        <v>0.44004840811766893</v>
      </c>
      <c r="R361" s="26">
        <f t="shared" si="17"/>
        <v>1546.9</v>
      </c>
      <c r="S361" s="27">
        <f t="shared" si="18"/>
        <v>1825.3420000000001</v>
      </c>
    </row>
    <row r="362" spans="1:19" x14ac:dyDescent="0.3">
      <c r="A362">
        <v>200010076</v>
      </c>
      <c r="B362" s="18">
        <v>273723367</v>
      </c>
      <c r="C362" s="22">
        <v>46251</v>
      </c>
      <c r="D362" s="19">
        <v>875252072848</v>
      </c>
      <c r="E362" s="37">
        <v>7871380</v>
      </c>
      <c r="F362" t="s">
        <v>42</v>
      </c>
      <c r="G362">
        <v>6.5</v>
      </c>
      <c r="H362">
        <v>39</v>
      </c>
      <c r="I362">
        <v>35</v>
      </c>
      <c r="J362">
        <v>19</v>
      </c>
      <c r="K362">
        <v>6.5</v>
      </c>
      <c r="L362" t="s">
        <v>19</v>
      </c>
      <c r="M362">
        <v>2724.1</v>
      </c>
      <c r="N362">
        <v>429</v>
      </c>
      <c r="O362" s="8">
        <v>180</v>
      </c>
      <c r="P362" s="8">
        <v>1434.7</v>
      </c>
      <c r="Q362" s="5">
        <f t="shared" si="16"/>
        <v>0.43044013080915666</v>
      </c>
      <c r="R362" s="26">
        <f t="shared" si="17"/>
        <v>4767.8</v>
      </c>
      <c r="S362" s="27">
        <f t="shared" si="18"/>
        <v>5626.0039999999999</v>
      </c>
    </row>
    <row r="363" spans="1:19" x14ac:dyDescent="0.3">
      <c r="A363">
        <v>200010076</v>
      </c>
      <c r="B363" s="18">
        <v>273723367</v>
      </c>
      <c r="C363" s="22">
        <v>46251</v>
      </c>
      <c r="D363" s="19">
        <v>875252086330</v>
      </c>
      <c r="E363" s="37">
        <v>39284</v>
      </c>
      <c r="F363" t="s">
        <v>42</v>
      </c>
      <c r="G363">
        <v>4</v>
      </c>
      <c r="H363">
        <v>55</v>
      </c>
      <c r="I363">
        <v>21</v>
      </c>
      <c r="J363">
        <v>19</v>
      </c>
      <c r="K363">
        <v>4</v>
      </c>
      <c r="L363" t="s">
        <v>19</v>
      </c>
      <c r="M363">
        <v>1966.1</v>
      </c>
      <c r="N363">
        <v>264</v>
      </c>
      <c r="O363" s="8">
        <v>180</v>
      </c>
      <c r="P363" s="8">
        <v>1014.7</v>
      </c>
      <c r="Q363" s="5">
        <f t="shared" si="16"/>
        <v>0.42101987469399615</v>
      </c>
      <c r="R363" s="26">
        <f t="shared" si="17"/>
        <v>3424.8</v>
      </c>
      <c r="S363" s="27">
        <f t="shared" si="18"/>
        <v>4041.2640000000001</v>
      </c>
    </row>
    <row r="364" spans="1:19" x14ac:dyDescent="0.3">
      <c r="A364">
        <v>200010076</v>
      </c>
      <c r="B364" s="18">
        <v>273723367</v>
      </c>
      <c r="C364" s="22">
        <v>46251</v>
      </c>
      <c r="D364" s="19">
        <v>875252096320</v>
      </c>
      <c r="E364" s="37">
        <v>39367</v>
      </c>
      <c r="F364" t="s">
        <v>42</v>
      </c>
      <c r="G364">
        <v>1.5</v>
      </c>
      <c r="H364">
        <v>33</v>
      </c>
      <c r="I364">
        <v>22</v>
      </c>
      <c r="J364">
        <v>11</v>
      </c>
      <c r="K364">
        <v>1.5</v>
      </c>
      <c r="L364" t="s">
        <v>19</v>
      </c>
      <c r="M364">
        <v>1353.7</v>
      </c>
      <c r="N364">
        <v>99</v>
      </c>
      <c r="O364" s="8">
        <v>180</v>
      </c>
      <c r="P364">
        <v>661</v>
      </c>
      <c r="Q364" s="5">
        <f t="shared" si="16"/>
        <v>0.40485086053775954</v>
      </c>
      <c r="R364" s="26">
        <f t="shared" si="17"/>
        <v>2293.6999999999998</v>
      </c>
      <c r="S364" s="27">
        <f t="shared" si="18"/>
        <v>2706.5659999999998</v>
      </c>
    </row>
    <row r="365" spans="1:19" x14ac:dyDescent="0.3">
      <c r="A365">
        <v>200010076</v>
      </c>
      <c r="B365" s="18">
        <v>273723367</v>
      </c>
      <c r="C365" s="22">
        <v>46251</v>
      </c>
      <c r="D365" s="19">
        <v>875252104961</v>
      </c>
      <c r="E365" s="37">
        <v>40466</v>
      </c>
      <c r="F365" t="s">
        <v>42</v>
      </c>
      <c r="G365">
        <v>2</v>
      </c>
      <c r="H365">
        <v>36</v>
      </c>
      <c r="I365">
        <v>24</v>
      </c>
      <c r="J365">
        <v>11</v>
      </c>
      <c r="K365">
        <v>2</v>
      </c>
      <c r="L365" t="s">
        <v>19</v>
      </c>
      <c r="M365">
        <v>1512.5</v>
      </c>
      <c r="N365">
        <v>132</v>
      </c>
      <c r="O365" s="8">
        <v>0</v>
      </c>
      <c r="P365" s="8">
        <v>748.3</v>
      </c>
      <c r="Q365" s="5">
        <f t="shared" si="16"/>
        <v>0.45503192459714198</v>
      </c>
      <c r="R365" s="26">
        <f t="shared" si="17"/>
        <v>2392.8000000000002</v>
      </c>
      <c r="S365" s="27">
        <f t="shared" si="18"/>
        <v>2823.5039999999999</v>
      </c>
    </row>
    <row r="366" spans="1:19" x14ac:dyDescent="0.3">
      <c r="A366">
        <v>200010076</v>
      </c>
      <c r="B366" s="18">
        <v>273723367</v>
      </c>
      <c r="C366" s="22">
        <v>46251</v>
      </c>
      <c r="D366" s="19">
        <v>875252112856</v>
      </c>
      <c r="E366" s="37">
        <v>7871571</v>
      </c>
      <c r="F366" t="s">
        <v>42</v>
      </c>
      <c r="G366">
        <v>4</v>
      </c>
      <c r="H366">
        <v>52</v>
      </c>
      <c r="I366">
        <v>28</v>
      </c>
      <c r="J366">
        <v>11</v>
      </c>
      <c r="K366">
        <v>4</v>
      </c>
      <c r="L366" t="s">
        <v>19</v>
      </c>
      <c r="M366">
        <v>1966.1</v>
      </c>
      <c r="N366">
        <v>264</v>
      </c>
      <c r="O366" s="8">
        <v>180</v>
      </c>
      <c r="P366">
        <v>1014.7</v>
      </c>
      <c r="Q366" s="5">
        <f t="shared" si="16"/>
        <v>0.42101987469399615</v>
      </c>
      <c r="R366" s="26">
        <f t="shared" si="17"/>
        <v>3424.8</v>
      </c>
      <c r="S366" s="27">
        <f t="shared" si="18"/>
        <v>4041.2640000000001</v>
      </c>
    </row>
    <row r="367" spans="1:19" x14ac:dyDescent="0.3">
      <c r="A367">
        <v>200010076</v>
      </c>
      <c r="B367" s="18">
        <v>273723367</v>
      </c>
      <c r="C367" s="22">
        <v>46251</v>
      </c>
      <c r="D367" s="19">
        <v>875252123154</v>
      </c>
      <c r="E367" s="37">
        <v>40680</v>
      </c>
      <c r="F367" t="s">
        <v>42</v>
      </c>
      <c r="G367">
        <v>5.81</v>
      </c>
      <c r="H367">
        <v>43</v>
      </c>
      <c r="I367">
        <v>29</v>
      </c>
      <c r="J367">
        <v>29</v>
      </c>
      <c r="K367">
        <v>6</v>
      </c>
      <c r="L367" t="s">
        <v>19</v>
      </c>
      <c r="M367">
        <v>2609.1</v>
      </c>
      <c r="N367">
        <v>396</v>
      </c>
      <c r="O367" s="8">
        <v>180</v>
      </c>
      <c r="P367">
        <v>1367.3</v>
      </c>
      <c r="Q367" s="5">
        <f t="shared" si="16"/>
        <v>0.42928008539763274</v>
      </c>
      <c r="R367" s="26">
        <f t="shared" si="17"/>
        <v>4552.3999999999996</v>
      </c>
      <c r="S367" s="27">
        <f t="shared" si="18"/>
        <v>5371.8319999999994</v>
      </c>
    </row>
    <row r="368" spans="1:19" x14ac:dyDescent="0.3">
      <c r="A368">
        <v>200010076</v>
      </c>
      <c r="B368" s="18">
        <v>273723367</v>
      </c>
      <c r="C368" s="22">
        <v>46251</v>
      </c>
      <c r="D368" s="19">
        <v>875252137643</v>
      </c>
      <c r="E368" s="37">
        <v>40747</v>
      </c>
      <c r="F368" t="s">
        <v>42</v>
      </c>
      <c r="G368">
        <v>3.5</v>
      </c>
      <c r="H368">
        <v>38</v>
      </c>
      <c r="I368">
        <v>23</v>
      </c>
      <c r="J368">
        <v>22</v>
      </c>
      <c r="K368">
        <v>3.5</v>
      </c>
      <c r="L368" t="s">
        <v>19</v>
      </c>
      <c r="M368">
        <v>1833.3</v>
      </c>
      <c r="N368">
        <v>231</v>
      </c>
      <c r="O368" s="8">
        <v>180</v>
      </c>
      <c r="P368">
        <v>939.3</v>
      </c>
      <c r="Q368" s="5">
        <f t="shared" si="16"/>
        <v>0.41852693490175102</v>
      </c>
      <c r="R368" s="26">
        <f t="shared" si="17"/>
        <v>3183.6000000000004</v>
      </c>
      <c r="S368" s="27">
        <f t="shared" si="18"/>
        <v>3756.6480000000001</v>
      </c>
    </row>
    <row r="369" spans="1:19" x14ac:dyDescent="0.3">
      <c r="A369">
        <v>200010076</v>
      </c>
      <c r="B369" s="18">
        <v>273723367</v>
      </c>
      <c r="C369" s="22">
        <v>46251</v>
      </c>
      <c r="D369" s="19">
        <v>875252145906</v>
      </c>
      <c r="E369" s="37">
        <v>40767</v>
      </c>
      <c r="F369" t="s">
        <v>42</v>
      </c>
      <c r="G369">
        <v>8</v>
      </c>
      <c r="H369">
        <v>55</v>
      </c>
      <c r="I369">
        <v>29</v>
      </c>
      <c r="J369">
        <v>28</v>
      </c>
      <c r="K369">
        <v>8</v>
      </c>
      <c r="L369" t="s">
        <v>19</v>
      </c>
      <c r="M369">
        <v>3069.3</v>
      </c>
      <c r="N369">
        <v>528</v>
      </c>
      <c r="O369" s="8">
        <v>180</v>
      </c>
      <c r="P369">
        <v>1636.8</v>
      </c>
      <c r="Q369" s="5">
        <f t="shared" si="16"/>
        <v>0.43332539115241042</v>
      </c>
      <c r="R369" s="26">
        <f t="shared" si="17"/>
        <v>5414.1</v>
      </c>
      <c r="S369" s="27">
        <f t="shared" si="18"/>
        <v>6388.6379999999999</v>
      </c>
    </row>
    <row r="370" spans="1:19" x14ac:dyDescent="0.3">
      <c r="A370">
        <v>200010076</v>
      </c>
      <c r="B370" s="18">
        <v>273723367</v>
      </c>
      <c r="C370" s="22">
        <v>46251</v>
      </c>
      <c r="D370" s="19">
        <v>875252156991</v>
      </c>
      <c r="E370" s="37">
        <v>7871596</v>
      </c>
      <c r="F370" t="s">
        <v>42</v>
      </c>
      <c r="G370">
        <v>9</v>
      </c>
      <c r="H370">
        <v>42</v>
      </c>
      <c r="I370">
        <v>33</v>
      </c>
      <c r="J370">
        <v>26</v>
      </c>
      <c r="K370">
        <v>9</v>
      </c>
      <c r="L370" t="s">
        <v>19</v>
      </c>
      <c r="M370">
        <v>3299.4</v>
      </c>
      <c r="N370">
        <v>594</v>
      </c>
      <c r="O370" s="8">
        <v>180</v>
      </c>
      <c r="P370" s="8">
        <v>1771.5</v>
      </c>
      <c r="Q370" s="5">
        <f t="shared" si="16"/>
        <v>0.43489468257475328</v>
      </c>
      <c r="R370" s="26">
        <f t="shared" si="17"/>
        <v>5844.9</v>
      </c>
      <c r="S370" s="27">
        <f t="shared" si="18"/>
        <v>6896.9819999999991</v>
      </c>
    </row>
    <row r="371" spans="1:19" x14ac:dyDescent="0.3">
      <c r="A371">
        <v>200010076</v>
      </c>
      <c r="B371" s="18">
        <v>273723367</v>
      </c>
      <c r="C371" s="22">
        <v>46251</v>
      </c>
      <c r="D371" s="19">
        <v>875252167532</v>
      </c>
      <c r="E371" s="37">
        <v>7871600</v>
      </c>
      <c r="F371" t="s">
        <v>42</v>
      </c>
      <c r="G371">
        <v>1.18</v>
      </c>
      <c r="H371">
        <v>36</v>
      </c>
      <c r="I371">
        <v>30</v>
      </c>
      <c r="J371">
        <v>10</v>
      </c>
      <c r="K371">
        <v>1.8</v>
      </c>
      <c r="L371" t="s">
        <v>19</v>
      </c>
      <c r="M371">
        <v>1512.5</v>
      </c>
      <c r="N371">
        <v>132</v>
      </c>
      <c r="O371" s="8">
        <v>0</v>
      </c>
      <c r="P371" s="8">
        <v>748.3</v>
      </c>
      <c r="Q371" s="5">
        <f t="shared" si="16"/>
        <v>0.45503192459714198</v>
      </c>
      <c r="R371" s="26">
        <f t="shared" si="17"/>
        <v>2392.8000000000002</v>
      </c>
      <c r="S371" s="27">
        <f t="shared" si="18"/>
        <v>2823.5039999999999</v>
      </c>
    </row>
    <row r="372" spans="1:19" x14ac:dyDescent="0.3">
      <c r="A372">
        <v>200010076</v>
      </c>
      <c r="B372" s="18">
        <v>273723367</v>
      </c>
      <c r="C372" s="22">
        <v>46251</v>
      </c>
      <c r="D372" s="19">
        <v>875252176765</v>
      </c>
      <c r="E372" s="37">
        <v>41246</v>
      </c>
      <c r="F372" t="s">
        <v>42</v>
      </c>
      <c r="G372">
        <v>6</v>
      </c>
      <c r="H372">
        <v>52</v>
      </c>
      <c r="I372">
        <v>26</v>
      </c>
      <c r="J372">
        <v>26</v>
      </c>
      <c r="K372">
        <v>6</v>
      </c>
      <c r="L372" t="s">
        <v>19</v>
      </c>
      <c r="M372">
        <v>2609.1</v>
      </c>
      <c r="N372">
        <v>396</v>
      </c>
      <c r="O372" s="8">
        <v>180</v>
      </c>
      <c r="P372">
        <v>1367.3</v>
      </c>
      <c r="Q372" s="5">
        <f t="shared" si="16"/>
        <v>0.42928008539763274</v>
      </c>
      <c r="R372" s="26">
        <f t="shared" si="17"/>
        <v>4552.3999999999996</v>
      </c>
      <c r="S372" s="27">
        <f t="shared" si="18"/>
        <v>5371.8319999999994</v>
      </c>
    </row>
    <row r="373" spans="1:19" x14ac:dyDescent="0.3">
      <c r="A373">
        <v>200010076</v>
      </c>
      <c r="B373" s="18">
        <v>273723367</v>
      </c>
      <c r="C373" s="22">
        <v>46251</v>
      </c>
      <c r="D373" s="19">
        <v>875252186104</v>
      </c>
      <c r="E373" s="37">
        <v>41265</v>
      </c>
      <c r="F373" t="s">
        <v>42</v>
      </c>
      <c r="G373">
        <v>2.5</v>
      </c>
      <c r="H373">
        <v>34</v>
      </c>
      <c r="I373">
        <v>27</v>
      </c>
      <c r="J373">
        <v>15</v>
      </c>
      <c r="K373">
        <v>2.5</v>
      </c>
      <c r="L373" t="s">
        <v>19</v>
      </c>
      <c r="M373">
        <v>1671.3</v>
      </c>
      <c r="N373">
        <v>165</v>
      </c>
      <c r="O373" s="8">
        <v>0</v>
      </c>
      <c r="P373" s="8">
        <v>835.5</v>
      </c>
      <c r="Q373" s="5">
        <f t="shared" si="16"/>
        <v>0.45499101454010782</v>
      </c>
      <c r="R373" s="26">
        <f t="shared" si="17"/>
        <v>2671.8</v>
      </c>
      <c r="S373" s="27">
        <f t="shared" si="18"/>
        <v>3152.7240000000002</v>
      </c>
    </row>
    <row r="374" spans="1:19" x14ac:dyDescent="0.3">
      <c r="A374">
        <v>200010076</v>
      </c>
      <c r="B374" s="18">
        <v>273723367</v>
      </c>
      <c r="C374" s="22">
        <v>46251</v>
      </c>
      <c r="D374" s="19">
        <v>875252194856</v>
      </c>
      <c r="E374" s="37">
        <v>7871628</v>
      </c>
      <c r="F374" t="s">
        <v>42</v>
      </c>
      <c r="G374">
        <v>22</v>
      </c>
      <c r="H374">
        <v>56</v>
      </c>
      <c r="I374">
        <v>56</v>
      </c>
      <c r="J374">
        <v>36</v>
      </c>
      <c r="K374">
        <v>22</v>
      </c>
      <c r="L374" t="s">
        <v>19</v>
      </c>
      <c r="M374">
        <v>8757.1</v>
      </c>
      <c r="N374">
        <v>1452</v>
      </c>
      <c r="O374" s="8">
        <v>180</v>
      </c>
      <c r="P374" s="8">
        <v>4645.1000000000004</v>
      </c>
      <c r="Q374" s="5">
        <f t="shared" si="16"/>
        <v>0.44711283941823643</v>
      </c>
      <c r="R374" s="26">
        <f t="shared" si="17"/>
        <v>15034.2</v>
      </c>
      <c r="S374" s="27">
        <f t="shared" si="18"/>
        <v>17740.356</v>
      </c>
    </row>
    <row r="375" spans="1:19" x14ac:dyDescent="0.3">
      <c r="A375">
        <v>200010076</v>
      </c>
      <c r="B375" s="18">
        <v>273723367</v>
      </c>
      <c r="C375" s="22">
        <v>46251</v>
      </c>
      <c r="D375" s="19">
        <v>875252203008</v>
      </c>
      <c r="E375" s="37">
        <v>41477</v>
      </c>
      <c r="F375" t="s">
        <v>42</v>
      </c>
      <c r="G375">
        <v>1</v>
      </c>
      <c r="H375">
        <v>37</v>
      </c>
      <c r="I375">
        <v>14</v>
      </c>
      <c r="J375">
        <v>12</v>
      </c>
      <c r="K375">
        <v>1</v>
      </c>
      <c r="L375" t="s">
        <v>19</v>
      </c>
      <c r="M375">
        <v>1194.8</v>
      </c>
      <c r="N375">
        <v>66</v>
      </c>
      <c r="O375" s="8">
        <v>180</v>
      </c>
      <c r="P375" s="8">
        <v>573.70000000000005</v>
      </c>
      <c r="Q375" s="5"/>
      <c r="R375" s="26">
        <f t="shared" ref="R375:R438" si="19">SUM(M375:P375)</f>
        <v>2014.5</v>
      </c>
      <c r="S375" s="27">
        <f t="shared" ref="S375:S438" si="20">+R375*1.18</f>
        <v>2377.1099999999997</v>
      </c>
    </row>
    <row r="376" spans="1:19" x14ac:dyDescent="0.3">
      <c r="A376">
        <v>200010076</v>
      </c>
      <c r="B376" s="18">
        <v>273723367</v>
      </c>
      <c r="C376" s="22">
        <v>46251</v>
      </c>
      <c r="D376" s="19">
        <v>875252212789</v>
      </c>
      <c r="E376" s="37">
        <v>41495</v>
      </c>
      <c r="F376" t="s">
        <v>42</v>
      </c>
      <c r="G376">
        <v>6</v>
      </c>
      <c r="H376">
        <v>49</v>
      </c>
      <c r="I376">
        <v>27</v>
      </c>
      <c r="J376">
        <v>26</v>
      </c>
      <c r="K376">
        <v>6</v>
      </c>
      <c r="L376" t="s">
        <v>19</v>
      </c>
      <c r="M376">
        <v>2609.1</v>
      </c>
      <c r="N376">
        <v>396</v>
      </c>
      <c r="O376" s="8">
        <v>180</v>
      </c>
      <c r="P376" s="8">
        <v>1367.3</v>
      </c>
      <c r="Q376" s="5"/>
      <c r="R376" s="26">
        <f t="shared" si="19"/>
        <v>4552.3999999999996</v>
      </c>
      <c r="S376" s="27">
        <f t="shared" si="20"/>
        <v>5371.8319999999994</v>
      </c>
    </row>
    <row r="377" spans="1:19" x14ac:dyDescent="0.3">
      <c r="A377">
        <v>200010076</v>
      </c>
      <c r="B377" s="18">
        <v>273723367</v>
      </c>
      <c r="C377" s="22">
        <v>46251</v>
      </c>
      <c r="D377" s="19">
        <v>875252221670</v>
      </c>
      <c r="E377" s="37">
        <v>41555</v>
      </c>
      <c r="F377" t="s">
        <v>42</v>
      </c>
      <c r="G377">
        <v>5</v>
      </c>
      <c r="H377">
        <v>58</v>
      </c>
      <c r="I377">
        <v>24</v>
      </c>
      <c r="J377">
        <v>21</v>
      </c>
      <c r="K377">
        <v>5</v>
      </c>
      <c r="L377" t="s">
        <v>19</v>
      </c>
      <c r="M377">
        <v>2231.6999999999998</v>
      </c>
      <c r="N377">
        <v>330</v>
      </c>
      <c r="O377" s="8">
        <v>180</v>
      </c>
      <c r="P377">
        <v>1165.5999999999999</v>
      </c>
      <c r="Q377" s="5"/>
      <c r="R377" s="26">
        <f t="shared" si="19"/>
        <v>3907.2999999999997</v>
      </c>
      <c r="S377" s="27">
        <f t="shared" si="20"/>
        <v>4610.6139999999996</v>
      </c>
    </row>
    <row r="378" spans="1:19" x14ac:dyDescent="0.3">
      <c r="A378">
        <v>200010076</v>
      </c>
      <c r="B378" s="18">
        <v>273723367</v>
      </c>
      <c r="C378" s="22">
        <v>46251</v>
      </c>
      <c r="D378" s="19">
        <v>875252231578</v>
      </c>
      <c r="E378" s="37">
        <v>41581</v>
      </c>
      <c r="F378" t="s">
        <v>42</v>
      </c>
      <c r="G378">
        <v>7</v>
      </c>
      <c r="H378">
        <v>66</v>
      </c>
      <c r="I378">
        <v>25</v>
      </c>
      <c r="J378">
        <v>25</v>
      </c>
      <c r="K378">
        <v>7</v>
      </c>
      <c r="L378" t="s">
        <v>19</v>
      </c>
      <c r="M378">
        <v>2839.2</v>
      </c>
      <c r="N378">
        <v>462</v>
      </c>
      <c r="O378" s="8">
        <v>180</v>
      </c>
      <c r="P378">
        <v>1502.1</v>
      </c>
      <c r="Q378" s="5"/>
      <c r="R378" s="26">
        <f t="shared" si="19"/>
        <v>4983.2999999999993</v>
      </c>
      <c r="S378" s="27">
        <f t="shared" si="20"/>
        <v>5880.293999999999</v>
      </c>
    </row>
    <row r="379" spans="1:19" x14ac:dyDescent="0.3">
      <c r="A379">
        <v>200010076</v>
      </c>
      <c r="B379" s="18">
        <v>273723367</v>
      </c>
      <c r="C379" s="22">
        <v>46251</v>
      </c>
      <c r="D379" s="19">
        <v>875252245287</v>
      </c>
      <c r="E379" s="37">
        <v>7871666</v>
      </c>
      <c r="F379" t="s">
        <v>42</v>
      </c>
      <c r="G379">
        <v>14</v>
      </c>
      <c r="H379">
        <v>42</v>
      </c>
      <c r="I379">
        <v>36</v>
      </c>
      <c r="J379">
        <v>26</v>
      </c>
      <c r="K379">
        <v>14</v>
      </c>
      <c r="L379" t="s">
        <v>19</v>
      </c>
      <c r="M379">
        <v>5769.9</v>
      </c>
      <c r="N379">
        <v>924</v>
      </c>
      <c r="O379" s="8">
        <v>180</v>
      </c>
      <c r="P379" s="8">
        <v>3045.7</v>
      </c>
      <c r="Q379" s="5"/>
      <c r="R379" s="26">
        <f t="shared" si="19"/>
        <v>9919.5999999999985</v>
      </c>
      <c r="S379" s="27">
        <f t="shared" si="20"/>
        <v>11705.127999999997</v>
      </c>
    </row>
    <row r="380" spans="1:19" x14ac:dyDescent="0.3">
      <c r="A380">
        <v>200010076</v>
      </c>
      <c r="B380" s="18">
        <v>273723367</v>
      </c>
      <c r="C380" s="22">
        <v>46251</v>
      </c>
      <c r="D380" s="19">
        <v>875252257019</v>
      </c>
      <c r="E380" s="37">
        <v>41821</v>
      </c>
      <c r="F380" t="s">
        <v>42</v>
      </c>
      <c r="G380">
        <v>3</v>
      </c>
      <c r="H380">
        <v>35</v>
      </c>
      <c r="I380">
        <v>21</v>
      </c>
      <c r="J380">
        <v>21</v>
      </c>
      <c r="K380">
        <v>3</v>
      </c>
      <c r="L380" t="s">
        <v>19</v>
      </c>
      <c r="M380">
        <v>1700.6</v>
      </c>
      <c r="N380">
        <v>198</v>
      </c>
      <c r="O380" s="8">
        <v>180</v>
      </c>
      <c r="P380" s="8">
        <v>863.9</v>
      </c>
      <c r="Q380" s="5"/>
      <c r="R380" s="26">
        <f t="shared" si="19"/>
        <v>2942.5</v>
      </c>
      <c r="S380" s="27">
        <f t="shared" si="20"/>
        <v>3472.1499999999996</v>
      </c>
    </row>
    <row r="381" spans="1:19" x14ac:dyDescent="0.3">
      <c r="A381">
        <v>200010076</v>
      </c>
      <c r="B381" s="18">
        <v>273723367</v>
      </c>
      <c r="C381" s="22">
        <v>46251</v>
      </c>
      <c r="D381" s="19">
        <v>875252266984</v>
      </c>
      <c r="E381" s="37">
        <v>42090</v>
      </c>
      <c r="F381" t="s">
        <v>42</v>
      </c>
      <c r="G381">
        <v>4.5</v>
      </c>
      <c r="H381">
        <v>47</v>
      </c>
      <c r="I381">
        <v>23</v>
      </c>
      <c r="J381">
        <v>22</v>
      </c>
      <c r="K381">
        <v>4.5</v>
      </c>
      <c r="L381" t="s">
        <v>19</v>
      </c>
      <c r="M381">
        <v>2098.9</v>
      </c>
      <c r="N381">
        <v>297</v>
      </c>
      <c r="O381" s="8">
        <v>180</v>
      </c>
      <c r="P381">
        <v>1090.0999999999999</v>
      </c>
      <c r="Q381" s="5"/>
      <c r="R381" s="26">
        <f t="shared" si="19"/>
        <v>3666</v>
      </c>
      <c r="S381" s="27">
        <f t="shared" si="20"/>
        <v>4325.88</v>
      </c>
    </row>
    <row r="382" spans="1:19" x14ac:dyDescent="0.3">
      <c r="A382">
        <v>200010076</v>
      </c>
      <c r="B382" s="18">
        <v>273723367</v>
      </c>
      <c r="C382" s="22">
        <v>46251</v>
      </c>
      <c r="D382" s="19">
        <v>875252274456</v>
      </c>
      <c r="E382" s="37">
        <v>42119</v>
      </c>
      <c r="F382" t="s">
        <v>42</v>
      </c>
      <c r="G382">
        <v>14.5</v>
      </c>
      <c r="H382">
        <v>77</v>
      </c>
      <c r="I382">
        <v>34</v>
      </c>
      <c r="J382">
        <v>33</v>
      </c>
      <c r="K382">
        <v>14.5</v>
      </c>
      <c r="L382" t="s">
        <v>19</v>
      </c>
      <c r="M382">
        <v>5940.6</v>
      </c>
      <c r="N382">
        <v>957</v>
      </c>
      <c r="O382" s="8">
        <v>180</v>
      </c>
      <c r="P382" s="8">
        <v>3138.4</v>
      </c>
      <c r="Q382" s="5"/>
      <c r="R382" s="26">
        <f t="shared" si="19"/>
        <v>10216</v>
      </c>
      <c r="S382" s="27">
        <f t="shared" si="20"/>
        <v>12054.88</v>
      </c>
    </row>
    <row r="383" spans="1:19" x14ac:dyDescent="0.3">
      <c r="A383">
        <v>200010076</v>
      </c>
      <c r="B383" s="18">
        <v>273723367</v>
      </c>
      <c r="C383" s="22">
        <v>46251</v>
      </c>
      <c r="D383" s="19">
        <v>875252286368</v>
      </c>
      <c r="E383" s="37">
        <v>42341</v>
      </c>
      <c r="F383" t="s">
        <v>42</v>
      </c>
      <c r="G383">
        <v>5.5</v>
      </c>
      <c r="H383">
        <v>71</v>
      </c>
      <c r="I383">
        <v>22</v>
      </c>
      <c r="J383">
        <v>20</v>
      </c>
      <c r="K383">
        <v>5.5</v>
      </c>
      <c r="L383" t="s">
        <v>19</v>
      </c>
      <c r="M383">
        <v>2494</v>
      </c>
      <c r="N383">
        <v>363</v>
      </c>
      <c r="O383" s="8">
        <v>180</v>
      </c>
      <c r="P383" s="8">
        <v>1299.9000000000001</v>
      </c>
      <c r="Q383" s="5"/>
      <c r="R383" s="26">
        <f t="shared" si="19"/>
        <v>4336.8999999999996</v>
      </c>
      <c r="S383" s="27">
        <f t="shared" si="20"/>
        <v>5117.5419999999995</v>
      </c>
    </row>
    <row r="384" spans="1:19" x14ac:dyDescent="0.3">
      <c r="A384">
        <v>200010076</v>
      </c>
      <c r="B384" s="18">
        <v>273723367</v>
      </c>
      <c r="C384" s="22">
        <v>46251</v>
      </c>
      <c r="D384" s="19">
        <v>875252295487</v>
      </c>
      <c r="E384" s="37">
        <v>42553</v>
      </c>
      <c r="F384" t="s">
        <v>42</v>
      </c>
      <c r="G384">
        <v>4.5</v>
      </c>
      <c r="H384">
        <v>51</v>
      </c>
      <c r="I384">
        <v>23</v>
      </c>
      <c r="J384">
        <v>21</v>
      </c>
      <c r="K384">
        <v>4.5</v>
      </c>
      <c r="L384" t="s">
        <v>19</v>
      </c>
      <c r="M384">
        <v>2098.9</v>
      </c>
      <c r="N384">
        <v>297</v>
      </c>
      <c r="O384" s="8">
        <v>180</v>
      </c>
      <c r="P384">
        <v>1090.0999999999999</v>
      </c>
      <c r="Q384" s="5"/>
      <c r="R384" s="26">
        <f t="shared" si="19"/>
        <v>3666</v>
      </c>
      <c r="S384" s="27">
        <f t="shared" si="20"/>
        <v>4325.88</v>
      </c>
    </row>
    <row r="385" spans="1:19" x14ac:dyDescent="0.3">
      <c r="A385">
        <v>200010076</v>
      </c>
      <c r="B385" s="18">
        <v>273723367</v>
      </c>
      <c r="C385" s="22">
        <v>46251</v>
      </c>
      <c r="D385" s="19">
        <v>875252311969</v>
      </c>
      <c r="E385" s="37">
        <v>42627</v>
      </c>
      <c r="F385" t="s">
        <v>42</v>
      </c>
      <c r="G385">
        <v>4</v>
      </c>
      <c r="H385">
        <v>51</v>
      </c>
      <c r="I385">
        <v>21</v>
      </c>
      <c r="J385">
        <v>19</v>
      </c>
      <c r="K385">
        <v>4</v>
      </c>
      <c r="L385" t="s">
        <v>19</v>
      </c>
      <c r="M385">
        <v>1966.1</v>
      </c>
      <c r="N385">
        <v>264</v>
      </c>
      <c r="O385" s="8">
        <v>180</v>
      </c>
      <c r="P385">
        <v>1014.7</v>
      </c>
      <c r="Q385" s="5"/>
      <c r="R385" s="26">
        <f t="shared" si="19"/>
        <v>3424.8</v>
      </c>
      <c r="S385" s="27">
        <f t="shared" si="20"/>
        <v>4041.2640000000001</v>
      </c>
    </row>
    <row r="386" spans="1:19" x14ac:dyDescent="0.3">
      <c r="A386">
        <v>200010076</v>
      </c>
      <c r="B386" s="18">
        <v>273723367</v>
      </c>
      <c r="C386" s="22">
        <v>46251</v>
      </c>
      <c r="D386" s="19">
        <v>875252322602</v>
      </c>
      <c r="E386" s="37">
        <v>42794</v>
      </c>
      <c r="F386" t="s">
        <v>42</v>
      </c>
      <c r="G386">
        <v>0.68</v>
      </c>
      <c r="H386">
        <v>28</v>
      </c>
      <c r="I386">
        <v>14</v>
      </c>
      <c r="J386">
        <v>13</v>
      </c>
      <c r="K386">
        <v>0.8</v>
      </c>
      <c r="L386" t="s">
        <v>19</v>
      </c>
      <c r="M386">
        <v>1194.8</v>
      </c>
      <c r="N386">
        <v>66</v>
      </c>
      <c r="O386" s="8">
        <v>0</v>
      </c>
      <c r="P386" s="8">
        <v>573.70000000000005</v>
      </c>
      <c r="Q386" s="5"/>
      <c r="R386" s="26">
        <f t="shared" si="19"/>
        <v>1834.5</v>
      </c>
      <c r="S386" s="27">
        <f t="shared" si="20"/>
        <v>2164.71</v>
      </c>
    </row>
    <row r="387" spans="1:19" x14ac:dyDescent="0.3">
      <c r="A387">
        <v>200010076</v>
      </c>
      <c r="B387" s="18">
        <v>273723367</v>
      </c>
      <c r="C387" s="22">
        <v>46251</v>
      </c>
      <c r="D387" s="19">
        <v>875252334639</v>
      </c>
      <c r="E387" s="37">
        <v>4115966411</v>
      </c>
      <c r="F387" t="s">
        <v>42</v>
      </c>
      <c r="G387">
        <v>3.5</v>
      </c>
      <c r="H387">
        <v>49</v>
      </c>
      <c r="I387">
        <v>20</v>
      </c>
      <c r="J387">
        <v>19</v>
      </c>
      <c r="K387">
        <v>3.5</v>
      </c>
      <c r="L387" t="s">
        <v>19</v>
      </c>
      <c r="M387">
        <v>1833.3</v>
      </c>
      <c r="N387">
        <v>231</v>
      </c>
      <c r="O387" s="8">
        <v>180</v>
      </c>
      <c r="P387">
        <v>939.3</v>
      </c>
      <c r="Q387" s="5"/>
      <c r="R387" s="26">
        <f t="shared" si="19"/>
        <v>3183.6000000000004</v>
      </c>
      <c r="S387" s="27">
        <f t="shared" si="20"/>
        <v>3756.6480000000001</v>
      </c>
    </row>
    <row r="388" spans="1:19" x14ac:dyDescent="0.3">
      <c r="A388">
        <v>200010076</v>
      </c>
      <c r="B388" s="18">
        <v>273723367</v>
      </c>
      <c r="C388" s="22">
        <v>46251</v>
      </c>
      <c r="D388" s="19">
        <v>875252341468</v>
      </c>
      <c r="E388" s="37">
        <v>42836</v>
      </c>
      <c r="F388" t="s">
        <v>42</v>
      </c>
      <c r="G388">
        <v>5.5</v>
      </c>
      <c r="H388">
        <v>46</v>
      </c>
      <c r="I388">
        <v>27</v>
      </c>
      <c r="J388">
        <v>25</v>
      </c>
      <c r="K388">
        <v>5.5</v>
      </c>
      <c r="L388" t="s">
        <v>19</v>
      </c>
      <c r="M388">
        <v>2494</v>
      </c>
      <c r="N388">
        <v>363</v>
      </c>
      <c r="O388" s="8">
        <v>180</v>
      </c>
      <c r="P388" s="8">
        <v>1299.9000000000001</v>
      </c>
      <c r="Q388" s="5"/>
      <c r="R388" s="26">
        <f t="shared" si="19"/>
        <v>4336.8999999999996</v>
      </c>
      <c r="S388" s="27">
        <f t="shared" si="20"/>
        <v>5117.5419999999995</v>
      </c>
    </row>
    <row r="389" spans="1:19" x14ac:dyDescent="0.3">
      <c r="A389">
        <v>200010076</v>
      </c>
      <c r="B389" s="18">
        <v>273723367</v>
      </c>
      <c r="C389" s="22">
        <v>46251</v>
      </c>
      <c r="D389" s="19">
        <v>875252351388</v>
      </c>
      <c r="E389" s="37">
        <v>42869</v>
      </c>
      <c r="F389" t="s">
        <v>42</v>
      </c>
      <c r="G389">
        <v>7</v>
      </c>
      <c r="H389">
        <v>53</v>
      </c>
      <c r="I389">
        <v>28</v>
      </c>
      <c r="J389">
        <v>28</v>
      </c>
      <c r="K389">
        <v>7</v>
      </c>
      <c r="L389" t="s">
        <v>19</v>
      </c>
      <c r="M389">
        <v>2839.2</v>
      </c>
      <c r="N389">
        <v>462</v>
      </c>
      <c r="O389" s="8">
        <v>180</v>
      </c>
      <c r="P389">
        <v>1502.1</v>
      </c>
      <c r="Q389" s="5"/>
      <c r="R389" s="26">
        <f t="shared" si="19"/>
        <v>4983.2999999999993</v>
      </c>
      <c r="S389" s="27">
        <f t="shared" si="20"/>
        <v>5880.293999999999</v>
      </c>
    </row>
    <row r="390" spans="1:19" x14ac:dyDescent="0.3">
      <c r="A390">
        <v>200010076</v>
      </c>
      <c r="B390" s="18">
        <v>273723367</v>
      </c>
      <c r="C390" s="22">
        <v>46251</v>
      </c>
      <c r="D390" s="19">
        <v>875252361941</v>
      </c>
      <c r="E390" s="37">
        <v>4115897736</v>
      </c>
      <c r="F390" t="s">
        <v>42</v>
      </c>
      <c r="G390">
        <v>13</v>
      </c>
      <c r="H390">
        <v>90</v>
      </c>
      <c r="I390">
        <v>30</v>
      </c>
      <c r="J390">
        <v>28</v>
      </c>
      <c r="K390">
        <v>13</v>
      </c>
      <c r="L390" t="s">
        <v>19</v>
      </c>
      <c r="M390">
        <v>5428.5</v>
      </c>
      <c r="N390">
        <v>858</v>
      </c>
      <c r="O390">
        <v>180</v>
      </c>
      <c r="P390" s="8">
        <v>2860.4</v>
      </c>
      <c r="Q390" s="5"/>
      <c r="R390" s="26">
        <f t="shared" si="19"/>
        <v>9326.9</v>
      </c>
      <c r="S390" s="27">
        <f t="shared" si="20"/>
        <v>11005.741999999998</v>
      </c>
    </row>
    <row r="391" spans="1:19" x14ac:dyDescent="0.3">
      <c r="A391">
        <v>200010076</v>
      </c>
      <c r="B391" s="18">
        <v>273723367</v>
      </c>
      <c r="C391" s="22">
        <v>46251</v>
      </c>
      <c r="D391" s="19">
        <v>875252368832</v>
      </c>
      <c r="E391" s="37">
        <v>42950</v>
      </c>
      <c r="F391" t="s">
        <v>42</v>
      </c>
      <c r="G391">
        <v>5.5</v>
      </c>
      <c r="H391">
        <v>44</v>
      </c>
      <c r="I391">
        <v>28</v>
      </c>
      <c r="J391">
        <v>24</v>
      </c>
      <c r="K391">
        <v>5.5</v>
      </c>
      <c r="L391" t="s">
        <v>19</v>
      </c>
      <c r="M391">
        <v>2494</v>
      </c>
      <c r="N391">
        <v>363</v>
      </c>
      <c r="O391" s="8">
        <v>180</v>
      </c>
      <c r="P391">
        <v>1299.9000000000001</v>
      </c>
      <c r="Q391" s="5"/>
      <c r="R391" s="26">
        <f t="shared" si="19"/>
        <v>4336.8999999999996</v>
      </c>
      <c r="S391" s="27">
        <f t="shared" si="20"/>
        <v>5117.5419999999995</v>
      </c>
    </row>
    <row r="392" spans="1:19" x14ac:dyDescent="0.3">
      <c r="A392">
        <v>200010076</v>
      </c>
      <c r="B392" s="18">
        <v>273723367</v>
      </c>
      <c r="C392" s="22">
        <v>46251</v>
      </c>
      <c r="D392" s="19">
        <v>875252384688</v>
      </c>
      <c r="E392" s="37">
        <v>4118640161</v>
      </c>
      <c r="F392" t="s">
        <v>42</v>
      </c>
      <c r="G392">
        <v>4</v>
      </c>
      <c r="H392">
        <v>45</v>
      </c>
      <c r="I392">
        <v>23</v>
      </c>
      <c r="J392">
        <v>21</v>
      </c>
      <c r="K392">
        <v>4</v>
      </c>
      <c r="L392" t="s">
        <v>19</v>
      </c>
      <c r="M392">
        <v>1966.1</v>
      </c>
      <c r="N392">
        <v>264</v>
      </c>
      <c r="O392" s="8">
        <v>180</v>
      </c>
      <c r="P392" s="8">
        <v>1014.7</v>
      </c>
      <c r="Q392" s="5"/>
      <c r="R392" s="26">
        <f t="shared" si="19"/>
        <v>3424.8</v>
      </c>
      <c r="S392" s="27">
        <f t="shared" si="20"/>
        <v>4041.2640000000001</v>
      </c>
    </row>
    <row r="393" spans="1:19" x14ac:dyDescent="0.3">
      <c r="A393">
        <v>200010076</v>
      </c>
      <c r="B393" s="18">
        <v>273723367</v>
      </c>
      <c r="C393" s="22">
        <v>46251</v>
      </c>
      <c r="D393" s="19">
        <v>875252396751</v>
      </c>
      <c r="E393" s="37">
        <v>4118785755</v>
      </c>
      <c r="F393" t="s">
        <v>42</v>
      </c>
      <c r="G393">
        <v>4</v>
      </c>
      <c r="H393">
        <v>52</v>
      </c>
      <c r="I393">
        <v>22</v>
      </c>
      <c r="J393">
        <v>20</v>
      </c>
      <c r="K393">
        <v>4</v>
      </c>
      <c r="L393" t="s">
        <v>19</v>
      </c>
      <c r="M393">
        <v>1966.1</v>
      </c>
      <c r="N393">
        <v>264</v>
      </c>
      <c r="O393" s="8">
        <v>180</v>
      </c>
      <c r="P393" s="8">
        <v>1014.7</v>
      </c>
      <c r="Q393" s="5"/>
      <c r="R393" s="26">
        <f t="shared" si="19"/>
        <v>3424.8</v>
      </c>
      <c r="S393" s="27">
        <f t="shared" si="20"/>
        <v>4041.2640000000001</v>
      </c>
    </row>
    <row r="394" spans="1:19" x14ac:dyDescent="0.3">
      <c r="A394">
        <v>200010076</v>
      </c>
      <c r="B394" s="18">
        <v>273723367</v>
      </c>
      <c r="C394" s="22">
        <v>46251</v>
      </c>
      <c r="D394" s="19">
        <v>875252404650</v>
      </c>
      <c r="E394" s="37">
        <v>43018</v>
      </c>
      <c r="F394" t="s">
        <v>42</v>
      </c>
      <c r="G394">
        <v>6</v>
      </c>
      <c r="H394">
        <v>53</v>
      </c>
      <c r="I394">
        <v>25</v>
      </c>
      <c r="J394">
        <v>25</v>
      </c>
      <c r="K394">
        <v>6</v>
      </c>
      <c r="L394" t="s">
        <v>19</v>
      </c>
      <c r="M394">
        <v>2609.1</v>
      </c>
      <c r="N394">
        <v>396</v>
      </c>
      <c r="O394" s="8">
        <v>180</v>
      </c>
      <c r="P394" s="8">
        <v>1367.3</v>
      </c>
      <c r="Q394" s="5"/>
      <c r="R394" s="26">
        <f t="shared" si="19"/>
        <v>4552.3999999999996</v>
      </c>
      <c r="S394" s="27">
        <f t="shared" si="20"/>
        <v>5371.8319999999994</v>
      </c>
    </row>
    <row r="395" spans="1:19" x14ac:dyDescent="0.3">
      <c r="A395">
        <v>200010076</v>
      </c>
      <c r="B395" s="18">
        <v>273723367</v>
      </c>
      <c r="C395" s="22">
        <v>46251</v>
      </c>
      <c r="D395" s="19">
        <v>875252419918</v>
      </c>
      <c r="E395" s="37">
        <v>4119415139</v>
      </c>
      <c r="F395" t="s">
        <v>42</v>
      </c>
      <c r="G395">
        <v>8</v>
      </c>
      <c r="H395">
        <v>51</v>
      </c>
      <c r="I395">
        <v>31</v>
      </c>
      <c r="J395">
        <v>30</v>
      </c>
      <c r="K395">
        <v>8</v>
      </c>
      <c r="L395" t="s">
        <v>19</v>
      </c>
      <c r="M395">
        <v>3069.3</v>
      </c>
      <c r="N395">
        <v>528</v>
      </c>
      <c r="O395" s="8">
        <v>180</v>
      </c>
      <c r="P395" s="8">
        <v>1636.8</v>
      </c>
      <c r="Q395" s="5"/>
      <c r="R395" s="26">
        <f t="shared" si="19"/>
        <v>5414.1</v>
      </c>
      <c r="S395" s="27">
        <f t="shared" si="20"/>
        <v>6388.6379999999999</v>
      </c>
    </row>
    <row r="396" spans="1:19" x14ac:dyDescent="0.3">
      <c r="A396">
        <v>200010076</v>
      </c>
      <c r="B396" s="18">
        <v>273723367</v>
      </c>
      <c r="C396" s="22">
        <v>46251</v>
      </c>
      <c r="D396" s="19">
        <v>875252429014</v>
      </c>
      <c r="E396" s="37">
        <v>4118157676</v>
      </c>
      <c r="F396" t="s">
        <v>42</v>
      </c>
      <c r="G396">
        <v>6.5</v>
      </c>
      <c r="H396">
        <v>53</v>
      </c>
      <c r="I396">
        <v>28</v>
      </c>
      <c r="J396">
        <v>25</v>
      </c>
      <c r="K396">
        <v>6.5</v>
      </c>
      <c r="L396" t="s">
        <v>19</v>
      </c>
      <c r="M396">
        <v>2724.1</v>
      </c>
      <c r="N396">
        <v>429</v>
      </c>
      <c r="O396" s="8">
        <v>180</v>
      </c>
      <c r="P396" s="8">
        <v>1434.7</v>
      </c>
      <c r="Q396" s="5"/>
      <c r="R396" s="26">
        <f t="shared" si="19"/>
        <v>4767.8</v>
      </c>
      <c r="S396" s="27">
        <f t="shared" si="20"/>
        <v>5626.0039999999999</v>
      </c>
    </row>
    <row r="397" spans="1:19" x14ac:dyDescent="0.3">
      <c r="A397">
        <v>200010076</v>
      </c>
      <c r="B397" s="18">
        <v>273723367</v>
      </c>
      <c r="C397" s="22">
        <v>46251</v>
      </c>
      <c r="D397" s="19">
        <v>875252436472</v>
      </c>
      <c r="E397" s="37">
        <v>43037</v>
      </c>
      <c r="F397" t="s">
        <v>42</v>
      </c>
      <c r="G397">
        <v>2.5</v>
      </c>
      <c r="H397">
        <v>30</v>
      </c>
      <c r="I397">
        <v>20</v>
      </c>
      <c r="J397">
        <v>13</v>
      </c>
      <c r="K397">
        <v>2.5</v>
      </c>
      <c r="L397" t="s">
        <v>19</v>
      </c>
      <c r="M397">
        <v>1671.3</v>
      </c>
      <c r="N397">
        <v>165</v>
      </c>
      <c r="O397">
        <v>180</v>
      </c>
      <c r="P397">
        <v>835.5</v>
      </c>
      <c r="Q397" s="5"/>
      <c r="R397" s="26">
        <f t="shared" si="19"/>
        <v>2851.8</v>
      </c>
      <c r="S397" s="27">
        <f t="shared" si="20"/>
        <v>3365.1240000000003</v>
      </c>
    </row>
    <row r="398" spans="1:19" x14ac:dyDescent="0.3">
      <c r="A398">
        <v>200010076</v>
      </c>
      <c r="B398" s="18">
        <v>273723367</v>
      </c>
      <c r="C398" s="22">
        <v>46251</v>
      </c>
      <c r="D398" s="19">
        <v>875252443740</v>
      </c>
      <c r="E398" s="37">
        <v>7871753</v>
      </c>
      <c r="F398" t="s">
        <v>42</v>
      </c>
      <c r="G398">
        <v>3.5</v>
      </c>
      <c r="H398">
        <v>37</v>
      </c>
      <c r="I398">
        <v>28</v>
      </c>
      <c r="J398">
        <v>18</v>
      </c>
      <c r="K398">
        <v>3.5</v>
      </c>
      <c r="L398" t="s">
        <v>19</v>
      </c>
      <c r="M398">
        <v>1833.3</v>
      </c>
      <c r="N398">
        <v>231</v>
      </c>
      <c r="O398">
        <v>180</v>
      </c>
      <c r="P398">
        <v>939.3</v>
      </c>
      <c r="Q398" s="5"/>
      <c r="R398" s="26">
        <f t="shared" si="19"/>
        <v>3183.6000000000004</v>
      </c>
      <c r="S398" s="27">
        <f t="shared" si="20"/>
        <v>3756.6480000000001</v>
      </c>
    </row>
    <row r="399" spans="1:19" x14ac:dyDescent="0.3">
      <c r="A399">
        <v>200010076</v>
      </c>
      <c r="B399" s="18">
        <v>273723367</v>
      </c>
      <c r="C399" s="22">
        <v>46251</v>
      </c>
      <c r="D399" s="19">
        <v>875252458205</v>
      </c>
      <c r="E399" s="37">
        <v>43100</v>
      </c>
      <c r="F399" t="s">
        <v>42</v>
      </c>
      <c r="G399">
        <v>6</v>
      </c>
      <c r="H399">
        <v>53</v>
      </c>
      <c r="I399">
        <v>26</v>
      </c>
      <c r="J399">
        <v>25</v>
      </c>
      <c r="K399">
        <v>6</v>
      </c>
      <c r="L399" t="s">
        <v>19</v>
      </c>
      <c r="M399">
        <v>2609.1</v>
      </c>
      <c r="N399">
        <v>396</v>
      </c>
      <c r="O399">
        <v>180</v>
      </c>
      <c r="P399">
        <v>1367.3</v>
      </c>
      <c r="Q399" s="5"/>
      <c r="R399" s="26">
        <f t="shared" si="19"/>
        <v>4552.3999999999996</v>
      </c>
      <c r="S399" s="27">
        <f t="shared" si="20"/>
        <v>5371.8319999999994</v>
      </c>
    </row>
    <row r="400" spans="1:19" x14ac:dyDescent="0.3">
      <c r="A400">
        <v>200010076</v>
      </c>
      <c r="B400" s="18">
        <v>273723367</v>
      </c>
      <c r="C400" s="22">
        <v>46251</v>
      </c>
      <c r="D400" s="19">
        <v>875252470077</v>
      </c>
      <c r="E400" s="37">
        <v>43111</v>
      </c>
      <c r="F400" t="s">
        <v>42</v>
      </c>
      <c r="G400">
        <v>4</v>
      </c>
      <c r="H400">
        <v>46</v>
      </c>
      <c r="I400">
        <v>22</v>
      </c>
      <c r="J400">
        <v>20</v>
      </c>
      <c r="K400">
        <v>4</v>
      </c>
      <c r="L400" t="s">
        <v>19</v>
      </c>
      <c r="M400">
        <v>1966.1</v>
      </c>
      <c r="N400">
        <v>264</v>
      </c>
      <c r="O400">
        <v>180</v>
      </c>
      <c r="P400">
        <v>1014.7</v>
      </c>
      <c r="Q400" s="5"/>
      <c r="R400" s="26">
        <f t="shared" si="19"/>
        <v>3424.8</v>
      </c>
      <c r="S400" s="27">
        <f t="shared" si="20"/>
        <v>4041.2640000000001</v>
      </c>
    </row>
    <row r="401" spans="1:19" x14ac:dyDescent="0.3">
      <c r="A401">
        <v>200010076</v>
      </c>
      <c r="B401" s="18">
        <v>273723367</v>
      </c>
      <c r="C401" s="22">
        <v>46251</v>
      </c>
      <c r="D401" s="19">
        <v>875252481177</v>
      </c>
      <c r="E401" s="37">
        <v>43146</v>
      </c>
      <c r="F401" t="s">
        <v>42</v>
      </c>
      <c r="G401">
        <v>7</v>
      </c>
      <c r="H401">
        <v>56</v>
      </c>
      <c r="I401">
        <v>27</v>
      </c>
      <c r="J401">
        <v>26</v>
      </c>
      <c r="K401">
        <v>7</v>
      </c>
      <c r="L401" t="s">
        <v>19</v>
      </c>
      <c r="M401">
        <v>2839.2</v>
      </c>
      <c r="N401">
        <v>462</v>
      </c>
      <c r="O401">
        <v>180</v>
      </c>
      <c r="P401">
        <v>1502.1</v>
      </c>
      <c r="Q401" s="5"/>
      <c r="R401" s="26">
        <f t="shared" si="19"/>
        <v>4983.2999999999993</v>
      </c>
      <c r="S401" s="27">
        <f t="shared" si="20"/>
        <v>5880.293999999999</v>
      </c>
    </row>
    <row r="402" spans="1:19" x14ac:dyDescent="0.3">
      <c r="A402">
        <v>200010076</v>
      </c>
      <c r="B402" s="18">
        <v>273723367</v>
      </c>
      <c r="C402" s="22">
        <v>46251</v>
      </c>
      <c r="D402" s="19">
        <v>875252493090</v>
      </c>
      <c r="E402" s="37">
        <v>43151</v>
      </c>
      <c r="F402" t="s">
        <v>42</v>
      </c>
      <c r="G402">
        <v>5</v>
      </c>
      <c r="H402">
        <v>47</v>
      </c>
      <c r="I402">
        <v>25</v>
      </c>
      <c r="J402">
        <v>25</v>
      </c>
      <c r="K402">
        <v>5</v>
      </c>
      <c r="L402" t="s">
        <v>19</v>
      </c>
      <c r="M402">
        <v>2231.6999999999998</v>
      </c>
      <c r="N402">
        <v>330</v>
      </c>
      <c r="O402">
        <v>180</v>
      </c>
      <c r="P402">
        <v>1165.5999999999999</v>
      </c>
      <c r="Q402" s="5"/>
      <c r="R402" s="26">
        <f t="shared" si="19"/>
        <v>3907.2999999999997</v>
      </c>
      <c r="S402" s="27">
        <f t="shared" si="20"/>
        <v>4610.6139999999996</v>
      </c>
    </row>
    <row r="403" spans="1:19" x14ac:dyDescent="0.3">
      <c r="A403">
        <v>200010076</v>
      </c>
      <c r="B403" s="18">
        <v>273723367</v>
      </c>
      <c r="C403" s="22">
        <v>46251</v>
      </c>
      <c r="D403" s="19">
        <v>875252497750</v>
      </c>
      <c r="E403" s="37">
        <v>43150</v>
      </c>
      <c r="F403" t="s">
        <v>42</v>
      </c>
      <c r="G403">
        <v>7</v>
      </c>
      <c r="H403">
        <v>47</v>
      </c>
      <c r="I403">
        <v>30</v>
      </c>
      <c r="J403">
        <v>29</v>
      </c>
      <c r="K403">
        <v>7</v>
      </c>
      <c r="L403" t="s">
        <v>19</v>
      </c>
      <c r="M403">
        <v>2839.2</v>
      </c>
      <c r="N403">
        <v>462</v>
      </c>
      <c r="O403">
        <v>180</v>
      </c>
      <c r="P403">
        <v>1502.1</v>
      </c>
      <c r="Q403" s="5"/>
      <c r="R403" s="26">
        <f t="shared" si="19"/>
        <v>4983.2999999999993</v>
      </c>
      <c r="S403" s="27">
        <f t="shared" si="20"/>
        <v>5880.293999999999</v>
      </c>
    </row>
    <row r="404" spans="1:19" x14ac:dyDescent="0.3">
      <c r="A404">
        <v>200010076</v>
      </c>
      <c r="B404" s="18">
        <v>273723367</v>
      </c>
      <c r="C404" s="22">
        <v>46251</v>
      </c>
      <c r="D404" s="19">
        <v>875252532002</v>
      </c>
      <c r="E404" s="37">
        <v>43180</v>
      </c>
      <c r="F404" t="s">
        <v>42</v>
      </c>
      <c r="G404">
        <v>10</v>
      </c>
      <c r="H404">
        <v>64</v>
      </c>
      <c r="I404">
        <v>31</v>
      </c>
      <c r="J404">
        <v>29</v>
      </c>
      <c r="K404">
        <v>10</v>
      </c>
      <c r="L404" t="s">
        <v>19</v>
      </c>
      <c r="M404">
        <v>3529.5</v>
      </c>
      <c r="N404">
        <v>660</v>
      </c>
      <c r="O404">
        <v>180</v>
      </c>
      <c r="P404">
        <v>1906.2</v>
      </c>
      <c r="Q404" s="5"/>
      <c r="R404" s="26">
        <f t="shared" si="19"/>
        <v>6275.7</v>
      </c>
      <c r="S404" s="27">
        <f t="shared" si="20"/>
        <v>7405.3259999999991</v>
      </c>
    </row>
    <row r="405" spans="1:19" x14ac:dyDescent="0.3">
      <c r="A405">
        <v>200010076</v>
      </c>
      <c r="B405" s="18">
        <v>273723367</v>
      </c>
      <c r="C405" s="22">
        <v>46251</v>
      </c>
      <c r="D405" s="19">
        <v>875252545150</v>
      </c>
      <c r="E405" s="37">
        <v>43200</v>
      </c>
      <c r="F405" t="s">
        <v>42</v>
      </c>
      <c r="G405">
        <v>5</v>
      </c>
      <c r="H405">
        <v>50</v>
      </c>
      <c r="I405">
        <v>25</v>
      </c>
      <c r="J405">
        <v>23</v>
      </c>
      <c r="K405">
        <v>5</v>
      </c>
      <c r="L405" t="s">
        <v>19</v>
      </c>
      <c r="M405">
        <v>2231.6999999999998</v>
      </c>
      <c r="N405">
        <v>330</v>
      </c>
      <c r="O405">
        <v>180</v>
      </c>
      <c r="P405">
        <v>1165.5999999999999</v>
      </c>
      <c r="Q405" s="5"/>
      <c r="R405" s="26">
        <f t="shared" si="19"/>
        <v>3907.2999999999997</v>
      </c>
      <c r="S405" s="27">
        <f t="shared" si="20"/>
        <v>4610.6139999999996</v>
      </c>
    </row>
    <row r="406" spans="1:19" x14ac:dyDescent="0.3">
      <c r="A406">
        <v>200010076</v>
      </c>
      <c r="B406" s="18">
        <v>273723367</v>
      </c>
      <c r="C406" s="22">
        <v>46251</v>
      </c>
      <c r="D406" s="19">
        <v>875252559796</v>
      </c>
      <c r="E406" s="37">
        <v>7871764</v>
      </c>
      <c r="F406" t="s">
        <v>42</v>
      </c>
      <c r="G406">
        <v>8</v>
      </c>
      <c r="H406">
        <v>38</v>
      </c>
      <c r="I406">
        <v>30</v>
      </c>
      <c r="J406">
        <v>30</v>
      </c>
      <c r="K406">
        <v>8</v>
      </c>
      <c r="L406" t="s">
        <v>19</v>
      </c>
      <c r="M406">
        <v>3069.3</v>
      </c>
      <c r="N406">
        <v>528</v>
      </c>
      <c r="O406">
        <v>180</v>
      </c>
      <c r="P406">
        <v>1636.8</v>
      </c>
      <c r="Q406" s="5"/>
      <c r="R406" s="26">
        <f t="shared" si="19"/>
        <v>5414.1</v>
      </c>
      <c r="S406" s="27">
        <f t="shared" si="20"/>
        <v>6388.6379999999999</v>
      </c>
    </row>
    <row r="407" spans="1:19" x14ac:dyDescent="0.3">
      <c r="A407">
        <v>200010076</v>
      </c>
      <c r="B407" s="18">
        <v>273723367</v>
      </c>
      <c r="C407" s="22">
        <v>46251</v>
      </c>
      <c r="D407" s="19">
        <v>875252572602</v>
      </c>
      <c r="E407" s="37">
        <v>43208</v>
      </c>
      <c r="F407" t="s">
        <v>42</v>
      </c>
      <c r="G407">
        <v>2</v>
      </c>
      <c r="H407">
        <v>49</v>
      </c>
      <c r="I407">
        <v>14</v>
      </c>
      <c r="J407">
        <v>13</v>
      </c>
      <c r="K407">
        <v>2</v>
      </c>
      <c r="L407" t="s">
        <v>19</v>
      </c>
      <c r="M407">
        <v>1512.5</v>
      </c>
      <c r="N407">
        <v>132</v>
      </c>
      <c r="O407">
        <v>180</v>
      </c>
      <c r="P407">
        <v>748.3</v>
      </c>
      <c r="Q407" s="5"/>
      <c r="R407" s="26">
        <f t="shared" si="19"/>
        <v>2572.8000000000002</v>
      </c>
      <c r="S407" s="27">
        <f t="shared" si="20"/>
        <v>3035.904</v>
      </c>
    </row>
    <row r="408" spans="1:19" x14ac:dyDescent="0.3">
      <c r="A408">
        <v>200010076</v>
      </c>
      <c r="B408" s="18">
        <v>273723367</v>
      </c>
      <c r="C408" s="22">
        <v>46251</v>
      </c>
      <c r="D408" s="19">
        <v>875252582886</v>
      </c>
      <c r="E408" s="37">
        <v>43220</v>
      </c>
      <c r="F408" t="s">
        <v>42</v>
      </c>
      <c r="G408">
        <v>9</v>
      </c>
      <c r="H408">
        <v>52</v>
      </c>
      <c r="I408">
        <v>33</v>
      </c>
      <c r="J408">
        <v>30</v>
      </c>
      <c r="K408">
        <v>9</v>
      </c>
      <c r="L408" t="s">
        <v>19</v>
      </c>
      <c r="M408">
        <v>3299.4</v>
      </c>
      <c r="N408">
        <v>594</v>
      </c>
      <c r="O408">
        <v>180</v>
      </c>
      <c r="P408">
        <v>1771.5</v>
      </c>
      <c r="Q408" s="5"/>
      <c r="R408" s="26">
        <f t="shared" si="19"/>
        <v>5844.9</v>
      </c>
      <c r="S408" s="27">
        <f t="shared" si="20"/>
        <v>6896.9819999999991</v>
      </c>
    </row>
    <row r="409" spans="1:19" x14ac:dyDescent="0.3">
      <c r="A409">
        <v>200010076</v>
      </c>
      <c r="B409" s="18">
        <v>273723367</v>
      </c>
      <c r="C409" s="22">
        <v>46251</v>
      </c>
      <c r="D409" s="19">
        <v>875252592979</v>
      </c>
      <c r="E409" s="37">
        <v>7871774</v>
      </c>
      <c r="F409" t="s">
        <v>42</v>
      </c>
      <c r="G409">
        <v>1.5</v>
      </c>
      <c r="H409">
        <v>33</v>
      </c>
      <c r="I409">
        <v>22</v>
      </c>
      <c r="J409">
        <v>10</v>
      </c>
      <c r="K409">
        <v>1.5</v>
      </c>
      <c r="L409" t="s">
        <v>19</v>
      </c>
      <c r="M409">
        <v>1353.7</v>
      </c>
      <c r="N409">
        <v>99</v>
      </c>
      <c r="O409">
        <v>0</v>
      </c>
      <c r="P409">
        <v>661</v>
      </c>
      <c r="Q409" s="5"/>
      <c r="R409" s="26">
        <f t="shared" si="19"/>
        <v>2113.6999999999998</v>
      </c>
      <c r="S409" s="27">
        <f t="shared" si="20"/>
        <v>2494.1659999999997</v>
      </c>
    </row>
    <row r="410" spans="1:19" x14ac:dyDescent="0.3">
      <c r="A410">
        <v>200010076</v>
      </c>
      <c r="B410" s="18">
        <v>273723367</v>
      </c>
      <c r="C410" s="22">
        <v>46251</v>
      </c>
      <c r="D410" s="19">
        <v>875252609809</v>
      </c>
      <c r="E410" s="37">
        <v>43254</v>
      </c>
      <c r="F410" t="s">
        <v>42</v>
      </c>
      <c r="G410">
        <v>8.5</v>
      </c>
      <c r="H410">
        <v>68</v>
      </c>
      <c r="I410">
        <v>27</v>
      </c>
      <c r="J410">
        <v>26</v>
      </c>
      <c r="K410">
        <v>8.5</v>
      </c>
      <c r="L410" t="s">
        <v>19</v>
      </c>
      <c r="M410">
        <v>3184.4</v>
      </c>
      <c r="N410">
        <v>561</v>
      </c>
      <c r="O410">
        <v>0</v>
      </c>
      <c r="P410">
        <v>1704.2</v>
      </c>
      <c r="Q410" s="5"/>
      <c r="R410" s="26">
        <f t="shared" si="19"/>
        <v>5449.6</v>
      </c>
      <c r="S410" s="27">
        <f t="shared" si="20"/>
        <v>6430.5280000000002</v>
      </c>
    </row>
    <row r="411" spans="1:19" x14ac:dyDescent="0.3">
      <c r="A411">
        <v>200010076</v>
      </c>
      <c r="B411" s="18">
        <v>273723367</v>
      </c>
      <c r="C411" s="22">
        <v>46251</v>
      </c>
      <c r="D411" s="19">
        <v>875252624430</v>
      </c>
      <c r="E411" s="37">
        <v>43275</v>
      </c>
      <c r="F411" t="s">
        <v>42</v>
      </c>
      <c r="G411">
        <v>4</v>
      </c>
      <c r="H411">
        <v>46</v>
      </c>
      <c r="I411">
        <v>22</v>
      </c>
      <c r="J411">
        <v>21</v>
      </c>
      <c r="K411">
        <v>4</v>
      </c>
      <c r="L411" t="s">
        <v>19</v>
      </c>
      <c r="M411">
        <v>1966.1</v>
      </c>
      <c r="N411">
        <v>264</v>
      </c>
      <c r="O411">
        <v>180</v>
      </c>
      <c r="P411">
        <v>1014.7</v>
      </c>
      <c r="Q411" s="5"/>
      <c r="R411" s="26">
        <f t="shared" si="19"/>
        <v>3424.8</v>
      </c>
      <c r="S411" s="27">
        <f t="shared" si="20"/>
        <v>4041.2640000000001</v>
      </c>
    </row>
    <row r="412" spans="1:19" x14ac:dyDescent="0.3">
      <c r="A412">
        <v>200010076</v>
      </c>
      <c r="B412" s="18">
        <v>273723367</v>
      </c>
      <c r="C412" s="22">
        <v>46251</v>
      </c>
      <c r="D412" s="19">
        <v>875252636434</v>
      </c>
      <c r="E412" s="37">
        <v>43284</v>
      </c>
      <c r="F412" t="s">
        <v>42</v>
      </c>
      <c r="G412">
        <v>3</v>
      </c>
      <c r="H412">
        <v>54</v>
      </c>
      <c r="I412">
        <v>17</v>
      </c>
      <c r="J412">
        <v>15</v>
      </c>
      <c r="K412">
        <v>3</v>
      </c>
      <c r="L412" t="s">
        <v>19</v>
      </c>
      <c r="M412">
        <v>1700.6</v>
      </c>
      <c r="N412">
        <v>198</v>
      </c>
      <c r="O412">
        <v>180</v>
      </c>
      <c r="P412">
        <v>863.9</v>
      </c>
      <c r="Q412" s="5"/>
      <c r="R412" s="26">
        <f t="shared" si="19"/>
        <v>2942.5</v>
      </c>
      <c r="S412" s="27">
        <f t="shared" si="20"/>
        <v>3472.1499999999996</v>
      </c>
    </row>
    <row r="413" spans="1:19" x14ac:dyDescent="0.3">
      <c r="A413">
        <v>200010076</v>
      </c>
      <c r="B413" s="18">
        <v>273723367</v>
      </c>
      <c r="C413" s="22">
        <v>46251</v>
      </c>
      <c r="D413" s="19">
        <v>875252651732</v>
      </c>
      <c r="E413" s="37">
        <v>43303</v>
      </c>
      <c r="F413" t="s">
        <v>42</v>
      </c>
      <c r="G413">
        <v>4</v>
      </c>
      <c r="H413">
        <v>37</v>
      </c>
      <c r="I413">
        <v>26</v>
      </c>
      <c r="J413">
        <v>22</v>
      </c>
      <c r="K413">
        <v>4</v>
      </c>
      <c r="L413" t="s">
        <v>19</v>
      </c>
      <c r="M413">
        <v>1966.1</v>
      </c>
      <c r="N413">
        <v>264</v>
      </c>
      <c r="O413">
        <v>180</v>
      </c>
      <c r="P413">
        <v>1014.7</v>
      </c>
      <c r="Q413" s="5"/>
      <c r="R413" s="26">
        <f t="shared" si="19"/>
        <v>3424.8</v>
      </c>
      <c r="S413" s="27">
        <f t="shared" si="20"/>
        <v>4041.2640000000001</v>
      </c>
    </row>
    <row r="414" spans="1:19" x14ac:dyDescent="0.3">
      <c r="A414">
        <v>200010076</v>
      </c>
      <c r="B414" s="18">
        <v>273723367</v>
      </c>
      <c r="C414" s="22">
        <v>46251</v>
      </c>
      <c r="D414" s="19">
        <v>875252680143</v>
      </c>
      <c r="E414" s="37">
        <v>43323</v>
      </c>
      <c r="F414" t="s">
        <v>42</v>
      </c>
      <c r="G414">
        <v>6.5</v>
      </c>
      <c r="H414">
        <v>59</v>
      </c>
      <c r="I414">
        <v>26</v>
      </c>
      <c r="J414">
        <v>24</v>
      </c>
      <c r="K414">
        <v>6.5</v>
      </c>
      <c r="L414" t="s">
        <v>19</v>
      </c>
      <c r="M414">
        <v>2724.1</v>
      </c>
      <c r="N414">
        <v>429</v>
      </c>
      <c r="O414">
        <v>180</v>
      </c>
      <c r="P414">
        <v>1434.7</v>
      </c>
      <c r="Q414" s="5"/>
      <c r="R414" s="26">
        <f t="shared" si="19"/>
        <v>4767.8</v>
      </c>
      <c r="S414" s="27">
        <f t="shared" si="20"/>
        <v>5626.0039999999999</v>
      </c>
    </row>
    <row r="415" spans="1:19" x14ac:dyDescent="0.3">
      <c r="A415">
        <v>200010076</v>
      </c>
      <c r="B415" s="18">
        <v>273723367</v>
      </c>
      <c r="C415" s="22">
        <v>46251</v>
      </c>
      <c r="D415" s="19">
        <v>875252692456</v>
      </c>
      <c r="E415" s="37">
        <v>43354</v>
      </c>
      <c r="F415" t="s">
        <v>42</v>
      </c>
      <c r="G415">
        <v>4.5</v>
      </c>
      <c r="H415">
        <v>39</v>
      </c>
      <c r="I415">
        <v>27</v>
      </c>
      <c r="J415">
        <v>24</v>
      </c>
      <c r="K415">
        <v>4.5</v>
      </c>
      <c r="L415" t="s">
        <v>19</v>
      </c>
      <c r="M415">
        <v>2098.9</v>
      </c>
      <c r="N415">
        <v>297</v>
      </c>
      <c r="O415">
        <v>180</v>
      </c>
      <c r="P415">
        <v>1090.0999999999999</v>
      </c>
      <c r="Q415" s="5"/>
      <c r="R415" s="26">
        <f t="shared" si="19"/>
        <v>3666</v>
      </c>
      <c r="S415" s="27">
        <f t="shared" si="20"/>
        <v>4325.88</v>
      </c>
    </row>
    <row r="416" spans="1:19" x14ac:dyDescent="0.3">
      <c r="A416">
        <v>200010076</v>
      </c>
      <c r="B416" s="18">
        <v>273723367</v>
      </c>
      <c r="C416" s="22">
        <v>46251</v>
      </c>
      <c r="D416" s="19">
        <v>875252704166</v>
      </c>
      <c r="E416" s="37">
        <v>43360</v>
      </c>
      <c r="F416" t="s">
        <v>42</v>
      </c>
      <c r="G416">
        <v>1.5</v>
      </c>
      <c r="H416">
        <v>44</v>
      </c>
      <c r="I416">
        <v>14</v>
      </c>
      <c r="J416">
        <v>13</v>
      </c>
      <c r="K416">
        <v>1.5</v>
      </c>
      <c r="L416" t="s">
        <v>19</v>
      </c>
      <c r="M416">
        <v>1353.7</v>
      </c>
      <c r="N416">
        <v>99</v>
      </c>
      <c r="O416">
        <v>180</v>
      </c>
      <c r="P416">
        <v>661</v>
      </c>
      <c r="Q416" s="5"/>
      <c r="R416" s="26">
        <f t="shared" si="19"/>
        <v>2293.6999999999998</v>
      </c>
      <c r="S416" s="27">
        <f t="shared" si="20"/>
        <v>2706.5659999999998</v>
      </c>
    </row>
    <row r="417" spans="1:19" x14ac:dyDescent="0.3">
      <c r="A417">
        <v>200010076</v>
      </c>
      <c r="B417" s="18">
        <v>273723367</v>
      </c>
      <c r="C417" s="22">
        <v>46251</v>
      </c>
      <c r="D417" s="19">
        <v>875252713013</v>
      </c>
      <c r="E417" s="37">
        <v>43364</v>
      </c>
      <c r="F417" t="s">
        <v>42</v>
      </c>
      <c r="G417">
        <v>4</v>
      </c>
      <c r="H417">
        <v>42</v>
      </c>
      <c r="I417">
        <v>24</v>
      </c>
      <c r="J417">
        <v>24</v>
      </c>
      <c r="K417">
        <v>4</v>
      </c>
      <c r="L417" t="s">
        <v>19</v>
      </c>
      <c r="M417">
        <v>1966.1</v>
      </c>
      <c r="N417">
        <v>264</v>
      </c>
      <c r="O417">
        <v>180</v>
      </c>
      <c r="P417">
        <v>1014.7</v>
      </c>
      <c r="Q417" s="5"/>
      <c r="R417" s="26">
        <f t="shared" si="19"/>
        <v>3424.8</v>
      </c>
      <c r="S417" s="27">
        <f t="shared" si="20"/>
        <v>4041.2640000000001</v>
      </c>
    </row>
    <row r="418" spans="1:19" x14ac:dyDescent="0.3">
      <c r="A418">
        <v>200010076</v>
      </c>
      <c r="B418" s="18">
        <v>273723367</v>
      </c>
      <c r="C418" s="22">
        <v>46251</v>
      </c>
      <c r="D418" s="19">
        <v>875252728255</v>
      </c>
      <c r="E418" s="37">
        <v>43371</v>
      </c>
      <c r="F418" t="s">
        <v>42</v>
      </c>
      <c r="G418">
        <v>6</v>
      </c>
      <c r="H418">
        <v>62</v>
      </c>
      <c r="I418">
        <v>24</v>
      </c>
      <c r="J418">
        <v>23</v>
      </c>
      <c r="K418">
        <v>6</v>
      </c>
      <c r="L418" t="s">
        <v>19</v>
      </c>
      <c r="M418">
        <v>2609.1</v>
      </c>
      <c r="N418">
        <v>396</v>
      </c>
      <c r="O418">
        <v>180</v>
      </c>
      <c r="P418">
        <v>1367.3</v>
      </c>
      <c r="Q418" s="5"/>
      <c r="R418" s="26">
        <f t="shared" si="19"/>
        <v>4552.3999999999996</v>
      </c>
      <c r="S418" s="27">
        <f t="shared" si="20"/>
        <v>5371.8319999999994</v>
      </c>
    </row>
    <row r="419" spans="1:19" x14ac:dyDescent="0.3">
      <c r="A419">
        <v>200010076</v>
      </c>
      <c r="B419" s="18">
        <v>273723367</v>
      </c>
      <c r="C419" s="22">
        <v>46251</v>
      </c>
      <c r="D419" s="19">
        <v>875252746070</v>
      </c>
      <c r="E419" s="37">
        <v>43378</v>
      </c>
      <c r="F419" t="s">
        <v>42</v>
      </c>
      <c r="G419">
        <v>7</v>
      </c>
      <c r="H419">
        <v>51</v>
      </c>
      <c r="I419">
        <v>28</v>
      </c>
      <c r="J419">
        <v>27</v>
      </c>
      <c r="K419">
        <v>7</v>
      </c>
      <c r="L419" t="s">
        <v>19</v>
      </c>
      <c r="M419">
        <v>2839.2</v>
      </c>
      <c r="N419">
        <v>462</v>
      </c>
      <c r="O419">
        <v>180</v>
      </c>
      <c r="P419">
        <v>1502.1</v>
      </c>
      <c r="Q419" s="5"/>
      <c r="R419" s="26">
        <f t="shared" si="19"/>
        <v>4983.2999999999993</v>
      </c>
      <c r="S419" s="27">
        <f t="shared" si="20"/>
        <v>5880.293999999999</v>
      </c>
    </row>
    <row r="420" spans="1:19" x14ac:dyDescent="0.3">
      <c r="A420">
        <v>200010076</v>
      </c>
      <c r="B420" s="18">
        <v>273723367</v>
      </c>
      <c r="C420" s="22">
        <v>46251</v>
      </c>
      <c r="D420" s="19">
        <v>875252758383</v>
      </c>
      <c r="E420" s="37">
        <v>43383</v>
      </c>
      <c r="F420" t="s">
        <v>42</v>
      </c>
      <c r="G420">
        <v>4.5</v>
      </c>
      <c r="H420">
        <v>53</v>
      </c>
      <c r="I420">
        <v>23</v>
      </c>
      <c r="J420">
        <v>20</v>
      </c>
      <c r="K420">
        <v>4.5</v>
      </c>
      <c r="L420" t="s">
        <v>19</v>
      </c>
      <c r="M420">
        <v>2098.9</v>
      </c>
      <c r="N420">
        <v>297</v>
      </c>
      <c r="O420">
        <v>180</v>
      </c>
      <c r="P420">
        <v>1090.0999999999999</v>
      </c>
      <c r="Q420" s="5"/>
      <c r="R420" s="26">
        <f t="shared" si="19"/>
        <v>3666</v>
      </c>
      <c r="S420" s="27">
        <f t="shared" si="20"/>
        <v>4325.88</v>
      </c>
    </row>
    <row r="421" spans="1:19" x14ac:dyDescent="0.3">
      <c r="A421">
        <v>200010076</v>
      </c>
      <c r="B421" s="18">
        <v>273723367</v>
      </c>
      <c r="C421" s="22">
        <v>46251</v>
      </c>
      <c r="D421" s="19">
        <v>875252774200</v>
      </c>
      <c r="E421" s="37">
        <v>43384</v>
      </c>
      <c r="F421" t="s">
        <v>42</v>
      </c>
      <c r="G421">
        <v>5.5</v>
      </c>
      <c r="H421">
        <v>53</v>
      </c>
      <c r="I421">
        <v>25</v>
      </c>
      <c r="J421">
        <v>24</v>
      </c>
      <c r="K421">
        <v>5.5</v>
      </c>
      <c r="L421" t="s">
        <v>19</v>
      </c>
      <c r="M421">
        <v>2494</v>
      </c>
      <c r="N421">
        <v>363</v>
      </c>
      <c r="O421">
        <v>180</v>
      </c>
      <c r="P421">
        <v>1299.9000000000001</v>
      </c>
      <c r="Q421" s="5"/>
      <c r="R421" s="26">
        <f t="shared" si="19"/>
        <v>4336.8999999999996</v>
      </c>
      <c r="S421" s="27">
        <f t="shared" si="20"/>
        <v>5117.5419999999995</v>
      </c>
    </row>
    <row r="422" spans="1:19" x14ac:dyDescent="0.3">
      <c r="A422">
        <v>200010076</v>
      </c>
      <c r="B422" s="18">
        <v>273723367</v>
      </c>
      <c r="C422" s="22">
        <v>46251</v>
      </c>
      <c r="D422" s="19">
        <v>875252791420</v>
      </c>
      <c r="E422" s="37">
        <v>43386</v>
      </c>
      <c r="F422" t="s">
        <v>42</v>
      </c>
      <c r="G422">
        <v>3.5</v>
      </c>
      <c r="H422">
        <v>44</v>
      </c>
      <c r="I422">
        <v>21</v>
      </c>
      <c r="J422">
        <v>21</v>
      </c>
      <c r="K422">
        <v>3.5</v>
      </c>
      <c r="L422" t="s">
        <v>19</v>
      </c>
      <c r="M422">
        <v>1833.3</v>
      </c>
      <c r="N422">
        <v>231</v>
      </c>
      <c r="O422">
        <v>180</v>
      </c>
      <c r="P422">
        <v>939.3</v>
      </c>
      <c r="Q422" s="5"/>
      <c r="R422" s="26">
        <f t="shared" si="19"/>
        <v>3183.6000000000004</v>
      </c>
      <c r="S422" s="27">
        <f t="shared" si="20"/>
        <v>3756.6480000000001</v>
      </c>
    </row>
    <row r="423" spans="1:19" x14ac:dyDescent="0.3">
      <c r="A423">
        <v>200010076</v>
      </c>
      <c r="B423" s="18">
        <v>273723367</v>
      </c>
      <c r="C423" s="22">
        <v>46251</v>
      </c>
      <c r="D423" s="19">
        <v>875252811024</v>
      </c>
      <c r="E423" s="37">
        <v>43395</v>
      </c>
      <c r="F423" t="s">
        <v>42</v>
      </c>
      <c r="G423">
        <v>26.5</v>
      </c>
      <c r="H423">
        <v>67</v>
      </c>
      <c r="I423">
        <v>50</v>
      </c>
      <c r="J423">
        <v>47</v>
      </c>
      <c r="K423">
        <v>26.5</v>
      </c>
      <c r="L423" t="s">
        <v>19</v>
      </c>
      <c r="M423">
        <v>10474.6</v>
      </c>
      <c r="N423">
        <v>1749</v>
      </c>
      <c r="O423">
        <v>2415</v>
      </c>
      <c r="P423">
        <v>6578.6</v>
      </c>
      <c r="Q423" s="5"/>
      <c r="R423" s="26">
        <f t="shared" si="19"/>
        <v>21217.200000000001</v>
      </c>
      <c r="S423" s="27">
        <f t="shared" si="20"/>
        <v>25036.295999999998</v>
      </c>
    </row>
    <row r="424" spans="1:19" x14ac:dyDescent="0.3">
      <c r="A424">
        <v>200010076</v>
      </c>
      <c r="B424" s="18">
        <v>273723367</v>
      </c>
      <c r="C424" s="22">
        <v>46251</v>
      </c>
      <c r="D424" s="19">
        <v>875252827365</v>
      </c>
      <c r="E424" s="37">
        <v>43432</v>
      </c>
      <c r="F424" t="s">
        <v>42</v>
      </c>
      <c r="G424">
        <v>1</v>
      </c>
      <c r="H424">
        <v>30</v>
      </c>
      <c r="I424">
        <v>11</v>
      </c>
      <c r="J424">
        <v>11</v>
      </c>
      <c r="K424">
        <v>1</v>
      </c>
      <c r="L424" t="s">
        <v>19</v>
      </c>
      <c r="M424">
        <v>1194.8</v>
      </c>
      <c r="N424">
        <v>66</v>
      </c>
      <c r="O424">
        <v>180</v>
      </c>
      <c r="P424">
        <v>573.70000000000005</v>
      </c>
      <c r="Q424" s="5"/>
      <c r="R424" s="26">
        <f t="shared" si="19"/>
        <v>2014.5</v>
      </c>
      <c r="S424" s="27">
        <f t="shared" si="20"/>
        <v>2377.1099999999997</v>
      </c>
    </row>
    <row r="425" spans="1:19" x14ac:dyDescent="0.3">
      <c r="A425">
        <v>200010076</v>
      </c>
      <c r="B425" s="18">
        <v>273723367</v>
      </c>
      <c r="C425" s="22">
        <v>46251</v>
      </c>
      <c r="D425" s="19">
        <v>875252838811</v>
      </c>
      <c r="E425" s="37">
        <v>43489</v>
      </c>
      <c r="F425" t="s">
        <v>42</v>
      </c>
      <c r="G425">
        <v>16.5</v>
      </c>
      <c r="H425">
        <v>65</v>
      </c>
      <c r="I425">
        <v>40</v>
      </c>
      <c r="J425">
        <v>37</v>
      </c>
      <c r="K425">
        <v>16.5</v>
      </c>
      <c r="L425" t="s">
        <v>19</v>
      </c>
      <c r="M425">
        <v>6623.3</v>
      </c>
      <c r="N425">
        <v>1089</v>
      </c>
      <c r="O425">
        <v>180</v>
      </c>
      <c r="P425">
        <v>3509.1</v>
      </c>
      <c r="Q425" s="5"/>
      <c r="R425" s="26">
        <f t="shared" si="19"/>
        <v>11401.4</v>
      </c>
      <c r="S425" s="27">
        <f t="shared" si="20"/>
        <v>13453.651999999998</v>
      </c>
    </row>
    <row r="426" spans="1:19" x14ac:dyDescent="0.3">
      <c r="A426">
        <v>200010076</v>
      </c>
      <c r="B426" s="18">
        <v>273723367</v>
      </c>
      <c r="C426" s="22">
        <v>46251</v>
      </c>
      <c r="D426" s="19">
        <v>875252851896</v>
      </c>
      <c r="E426" s="37">
        <v>43501</v>
      </c>
      <c r="F426" t="s">
        <v>42</v>
      </c>
      <c r="G426">
        <v>2</v>
      </c>
      <c r="H426">
        <v>36</v>
      </c>
      <c r="I426">
        <v>27</v>
      </c>
      <c r="J426">
        <v>10</v>
      </c>
      <c r="K426">
        <v>2</v>
      </c>
      <c r="L426" t="s">
        <v>19</v>
      </c>
      <c r="M426">
        <v>1512.5</v>
      </c>
      <c r="N426">
        <v>132</v>
      </c>
      <c r="O426">
        <v>180</v>
      </c>
      <c r="P426">
        <v>748.3</v>
      </c>
      <c r="Q426" s="5"/>
      <c r="R426" s="26">
        <f t="shared" si="19"/>
        <v>2572.8000000000002</v>
      </c>
      <c r="S426" s="27">
        <f t="shared" si="20"/>
        <v>3035.904</v>
      </c>
    </row>
    <row r="427" spans="1:19" x14ac:dyDescent="0.3">
      <c r="A427">
        <v>200010076</v>
      </c>
      <c r="B427" s="18">
        <v>273723367</v>
      </c>
      <c r="C427" s="22">
        <v>46251</v>
      </c>
      <c r="D427" s="19">
        <v>875252874393</v>
      </c>
      <c r="E427" s="37">
        <v>43557</v>
      </c>
      <c r="F427" t="s">
        <v>42</v>
      </c>
      <c r="G427">
        <v>5.5</v>
      </c>
      <c r="H427">
        <v>52</v>
      </c>
      <c r="I427">
        <v>25</v>
      </c>
      <c r="J427">
        <v>24</v>
      </c>
      <c r="K427">
        <v>5.5</v>
      </c>
      <c r="L427" t="s">
        <v>19</v>
      </c>
      <c r="M427">
        <v>2494</v>
      </c>
      <c r="N427">
        <v>363</v>
      </c>
      <c r="O427">
        <v>180</v>
      </c>
      <c r="P427">
        <v>1299.9000000000001</v>
      </c>
      <c r="Q427" s="5"/>
      <c r="R427" s="26">
        <f t="shared" si="19"/>
        <v>4336.8999999999996</v>
      </c>
      <c r="S427" s="27">
        <f t="shared" si="20"/>
        <v>5117.5419999999995</v>
      </c>
    </row>
    <row r="428" spans="1:19" x14ac:dyDescent="0.3">
      <c r="A428">
        <v>200010076</v>
      </c>
      <c r="B428" s="18">
        <v>273723367</v>
      </c>
      <c r="C428" s="22">
        <v>46251</v>
      </c>
      <c r="D428" s="19">
        <v>875252885975</v>
      </c>
      <c r="E428" s="37">
        <v>43631</v>
      </c>
      <c r="F428" t="s">
        <v>42</v>
      </c>
      <c r="G428">
        <v>4</v>
      </c>
      <c r="H428">
        <v>49</v>
      </c>
      <c r="I428">
        <v>23</v>
      </c>
      <c r="J428">
        <v>21</v>
      </c>
      <c r="K428">
        <v>4</v>
      </c>
      <c r="L428" t="s">
        <v>19</v>
      </c>
      <c r="M428">
        <v>1966.1</v>
      </c>
      <c r="N428">
        <v>264</v>
      </c>
      <c r="O428">
        <v>180</v>
      </c>
      <c r="P428">
        <v>1014.7</v>
      </c>
      <c r="Q428" s="5"/>
      <c r="R428" s="26">
        <f t="shared" si="19"/>
        <v>3424.8</v>
      </c>
      <c r="S428" s="27">
        <f t="shared" si="20"/>
        <v>4041.2640000000001</v>
      </c>
    </row>
    <row r="429" spans="1:19" x14ac:dyDescent="0.3">
      <c r="A429">
        <v>200010076</v>
      </c>
      <c r="B429" s="18">
        <v>273723367</v>
      </c>
      <c r="C429" s="22">
        <v>46251</v>
      </c>
      <c r="D429" s="19">
        <v>875252901563</v>
      </c>
      <c r="E429" s="37">
        <v>43670</v>
      </c>
      <c r="F429" t="s">
        <v>42</v>
      </c>
      <c r="G429">
        <v>7</v>
      </c>
      <c r="H429">
        <v>69</v>
      </c>
      <c r="I429">
        <v>26</v>
      </c>
      <c r="J429">
        <v>23</v>
      </c>
      <c r="K429">
        <v>7</v>
      </c>
      <c r="L429" t="s">
        <v>19</v>
      </c>
      <c r="M429">
        <v>2839.2</v>
      </c>
      <c r="N429">
        <v>462</v>
      </c>
      <c r="O429">
        <v>180</v>
      </c>
      <c r="P429">
        <v>1502.1</v>
      </c>
      <c r="Q429" s="5"/>
      <c r="R429" s="26">
        <f t="shared" si="19"/>
        <v>4983.2999999999993</v>
      </c>
      <c r="S429" s="27">
        <f t="shared" si="20"/>
        <v>5880.293999999999</v>
      </c>
    </row>
    <row r="430" spans="1:19" x14ac:dyDescent="0.3">
      <c r="A430">
        <v>200010076</v>
      </c>
      <c r="B430" s="18">
        <v>273723367</v>
      </c>
      <c r="C430" s="22">
        <v>46251</v>
      </c>
      <c r="D430" s="19">
        <v>875253596904</v>
      </c>
      <c r="E430" s="37">
        <v>4108532639</v>
      </c>
      <c r="F430" t="s">
        <v>42</v>
      </c>
      <c r="G430">
        <v>19</v>
      </c>
      <c r="H430">
        <v>101</v>
      </c>
      <c r="I430">
        <v>35</v>
      </c>
      <c r="J430">
        <v>31</v>
      </c>
      <c r="K430">
        <v>19</v>
      </c>
      <c r="L430" t="s">
        <v>19</v>
      </c>
      <c r="M430">
        <v>7592.6</v>
      </c>
      <c r="N430">
        <v>893</v>
      </c>
      <c r="O430">
        <v>180</v>
      </c>
      <c r="P430">
        <v>3861</v>
      </c>
      <c r="Q430" s="5"/>
      <c r="R430" s="26">
        <f t="shared" si="19"/>
        <v>12526.6</v>
      </c>
      <c r="S430" s="27">
        <f t="shared" si="20"/>
        <v>14781.387999999999</v>
      </c>
    </row>
    <row r="431" spans="1:19" x14ac:dyDescent="0.3">
      <c r="A431">
        <v>200010076</v>
      </c>
      <c r="B431" s="18">
        <v>273723367</v>
      </c>
      <c r="C431" s="22">
        <v>46251</v>
      </c>
      <c r="D431" s="19">
        <v>875253610978</v>
      </c>
      <c r="E431" s="37">
        <v>41228</v>
      </c>
      <c r="F431" t="s">
        <v>42</v>
      </c>
      <c r="G431">
        <v>24</v>
      </c>
      <c r="H431">
        <v>91</v>
      </c>
      <c r="I431">
        <v>30</v>
      </c>
      <c r="J431">
        <v>27</v>
      </c>
      <c r="K431">
        <v>36.5</v>
      </c>
      <c r="L431" t="s">
        <v>19</v>
      </c>
      <c r="M431">
        <v>14291.2</v>
      </c>
      <c r="N431">
        <v>2409</v>
      </c>
      <c r="O431">
        <v>0</v>
      </c>
      <c r="P431">
        <v>7598.6</v>
      </c>
      <c r="Q431" s="5"/>
      <c r="R431" s="26">
        <f t="shared" si="19"/>
        <v>24298.800000000003</v>
      </c>
      <c r="S431" s="27">
        <f t="shared" si="20"/>
        <v>28672.584000000003</v>
      </c>
    </row>
    <row r="432" spans="1:19" x14ac:dyDescent="0.3">
      <c r="A432">
        <v>200010076</v>
      </c>
      <c r="B432" s="18">
        <v>273723367</v>
      </c>
      <c r="C432" s="22">
        <v>46251</v>
      </c>
      <c r="D432" s="19">
        <v>875253624106</v>
      </c>
      <c r="E432" s="37">
        <v>42114</v>
      </c>
      <c r="F432" t="s">
        <v>42</v>
      </c>
      <c r="G432">
        <v>38</v>
      </c>
      <c r="H432">
        <v>86</v>
      </c>
      <c r="I432">
        <v>30</v>
      </c>
      <c r="J432">
        <v>29</v>
      </c>
      <c r="K432">
        <v>37.9</v>
      </c>
      <c r="L432" t="s">
        <v>19</v>
      </c>
      <c r="M432">
        <v>14863.7</v>
      </c>
      <c r="N432">
        <v>2508</v>
      </c>
      <c r="O432">
        <v>2235</v>
      </c>
      <c r="P432">
        <v>8921</v>
      </c>
      <c r="Q432" s="5"/>
      <c r="R432" s="26">
        <f t="shared" si="19"/>
        <v>28527.7</v>
      </c>
      <c r="S432" s="27">
        <f t="shared" si="20"/>
        <v>33662.686000000002</v>
      </c>
    </row>
    <row r="433" spans="1:19" x14ac:dyDescent="0.3">
      <c r="A433">
        <v>200010076</v>
      </c>
      <c r="B433" s="18">
        <v>273723367</v>
      </c>
      <c r="C433" s="22">
        <v>46251</v>
      </c>
      <c r="D433" s="19">
        <v>875253636029</v>
      </c>
      <c r="E433" s="37">
        <v>42448</v>
      </c>
      <c r="F433" t="s">
        <v>42</v>
      </c>
      <c r="G433">
        <v>43</v>
      </c>
      <c r="H433">
        <v>82</v>
      </c>
      <c r="I433">
        <v>41</v>
      </c>
      <c r="J433">
        <v>40</v>
      </c>
      <c r="K433">
        <v>42.3</v>
      </c>
      <c r="L433" t="s">
        <v>19</v>
      </c>
      <c r="M433">
        <v>16581.2</v>
      </c>
      <c r="N433">
        <v>2805</v>
      </c>
      <c r="O433">
        <v>0</v>
      </c>
      <c r="P433">
        <v>8820.7000000000007</v>
      </c>
      <c r="Q433" s="5"/>
      <c r="R433" s="26">
        <f t="shared" si="19"/>
        <v>28206.9</v>
      </c>
      <c r="S433" s="27">
        <f t="shared" si="20"/>
        <v>33284.142</v>
      </c>
    </row>
    <row r="434" spans="1:19" x14ac:dyDescent="0.3">
      <c r="A434">
        <v>200010076</v>
      </c>
      <c r="B434" s="18">
        <v>273723367</v>
      </c>
      <c r="C434" s="22">
        <v>46251</v>
      </c>
      <c r="D434" s="19">
        <v>875253649143</v>
      </c>
      <c r="E434" s="37">
        <v>43688</v>
      </c>
      <c r="F434" t="s">
        <v>42</v>
      </c>
      <c r="G434">
        <v>52.65</v>
      </c>
      <c r="H434">
        <v>84</v>
      </c>
      <c r="I434">
        <v>37</v>
      </c>
      <c r="J434">
        <v>37</v>
      </c>
      <c r="K434">
        <v>52.7</v>
      </c>
      <c r="L434" t="s">
        <v>19</v>
      </c>
      <c r="M434">
        <v>22406.5</v>
      </c>
      <c r="N434">
        <v>3498</v>
      </c>
      <c r="O434">
        <v>0</v>
      </c>
      <c r="P434">
        <v>11786.6</v>
      </c>
      <c r="Q434" s="5"/>
      <c r="R434" s="26">
        <f t="shared" si="19"/>
        <v>37691.1</v>
      </c>
      <c r="S434" s="27">
        <f t="shared" si="20"/>
        <v>44475.497999999992</v>
      </c>
    </row>
    <row r="435" spans="1:19" x14ac:dyDescent="0.3">
      <c r="A435">
        <v>200010076</v>
      </c>
      <c r="B435" s="18">
        <v>273723367</v>
      </c>
      <c r="C435" s="22">
        <v>46251</v>
      </c>
      <c r="D435" s="19">
        <v>875258863453</v>
      </c>
      <c r="E435" s="37">
        <v>40733</v>
      </c>
      <c r="F435" t="s">
        <v>42</v>
      </c>
      <c r="G435">
        <v>19.5</v>
      </c>
      <c r="H435">
        <v>88</v>
      </c>
      <c r="I435">
        <v>36</v>
      </c>
      <c r="J435">
        <v>36</v>
      </c>
      <c r="K435">
        <v>69.400000000000006</v>
      </c>
      <c r="L435" t="s">
        <v>19</v>
      </c>
      <c r="M435">
        <v>28947.1</v>
      </c>
      <c r="N435">
        <v>4587</v>
      </c>
      <c r="O435">
        <v>2235</v>
      </c>
      <c r="P435">
        <v>16274.9</v>
      </c>
      <c r="Q435" s="5"/>
      <c r="R435" s="26">
        <f t="shared" si="19"/>
        <v>52044</v>
      </c>
      <c r="S435" s="27">
        <f t="shared" si="20"/>
        <v>61411.92</v>
      </c>
    </row>
    <row r="436" spans="1:19" x14ac:dyDescent="0.3">
      <c r="A436">
        <v>200010076</v>
      </c>
      <c r="B436" s="18">
        <v>273723367</v>
      </c>
      <c r="C436" s="22">
        <v>46251</v>
      </c>
      <c r="D436" s="19">
        <v>875252863308</v>
      </c>
      <c r="E436" s="37">
        <v>43586</v>
      </c>
      <c r="F436" t="s">
        <v>42</v>
      </c>
      <c r="G436">
        <v>0.5</v>
      </c>
      <c r="K436">
        <v>0.5</v>
      </c>
      <c r="L436" t="s">
        <v>19</v>
      </c>
      <c r="M436">
        <v>1031.7</v>
      </c>
      <c r="N436">
        <v>42.5</v>
      </c>
      <c r="O436">
        <v>0</v>
      </c>
      <c r="P436">
        <v>488.8</v>
      </c>
      <c r="Q436" s="5"/>
      <c r="R436" s="26">
        <f t="shared" si="19"/>
        <v>1563</v>
      </c>
      <c r="S436" s="27">
        <f t="shared" si="20"/>
        <v>1844.34</v>
      </c>
    </row>
    <row r="437" spans="1:19" x14ac:dyDescent="0.3">
      <c r="A437">
        <v>200010076</v>
      </c>
      <c r="B437" s="18">
        <v>273723367</v>
      </c>
      <c r="C437" s="22">
        <v>46251</v>
      </c>
      <c r="D437" s="19">
        <v>875252913008</v>
      </c>
      <c r="E437" s="37">
        <v>42838</v>
      </c>
      <c r="F437" t="s">
        <v>42</v>
      </c>
      <c r="G437">
        <v>0.5</v>
      </c>
      <c r="K437">
        <v>0.5</v>
      </c>
      <c r="L437" t="s">
        <v>19</v>
      </c>
      <c r="M437">
        <v>1031.7</v>
      </c>
      <c r="N437">
        <v>42.5</v>
      </c>
      <c r="O437">
        <v>0</v>
      </c>
      <c r="P437">
        <v>488.8</v>
      </c>
      <c r="Q437" s="5"/>
      <c r="R437" s="26">
        <f t="shared" si="19"/>
        <v>1563</v>
      </c>
      <c r="S437" s="27">
        <f t="shared" si="20"/>
        <v>1844.34</v>
      </c>
    </row>
    <row r="438" spans="1:19" x14ac:dyDescent="0.3">
      <c r="A438">
        <v>200010076</v>
      </c>
      <c r="B438" s="18">
        <v>273723367</v>
      </c>
      <c r="C438" s="22">
        <v>46251</v>
      </c>
      <c r="D438" s="19">
        <v>875252951020</v>
      </c>
      <c r="E438" s="37">
        <v>43762</v>
      </c>
      <c r="F438" t="s">
        <v>42</v>
      </c>
      <c r="G438">
        <v>0.5</v>
      </c>
      <c r="K438">
        <v>0.5</v>
      </c>
      <c r="L438" t="s">
        <v>19</v>
      </c>
      <c r="M438">
        <v>1031.7</v>
      </c>
      <c r="N438">
        <v>42.5</v>
      </c>
      <c r="O438">
        <v>0</v>
      </c>
      <c r="P438">
        <v>488.8</v>
      </c>
      <c r="Q438" s="5"/>
      <c r="R438" s="26">
        <f t="shared" si="19"/>
        <v>1563</v>
      </c>
      <c r="S438" s="27">
        <f t="shared" si="20"/>
        <v>1844.34</v>
      </c>
    </row>
    <row r="439" spans="1:19" x14ac:dyDescent="0.3">
      <c r="A439">
        <v>200010076</v>
      </c>
      <c r="B439" s="18">
        <v>273723367</v>
      </c>
      <c r="C439" s="22">
        <v>46251</v>
      </c>
      <c r="D439" s="19">
        <v>875252967188</v>
      </c>
      <c r="E439" s="37">
        <v>43780</v>
      </c>
      <c r="F439" t="s">
        <v>42</v>
      </c>
      <c r="G439">
        <v>1.86</v>
      </c>
      <c r="K439">
        <v>1.9</v>
      </c>
      <c r="L439" t="s">
        <v>19</v>
      </c>
      <c r="M439">
        <v>1450.9</v>
      </c>
      <c r="N439">
        <v>132</v>
      </c>
      <c r="O439">
        <v>0</v>
      </c>
      <c r="P439">
        <v>720.2</v>
      </c>
      <c r="Q439" s="5"/>
      <c r="R439" s="26">
        <f t="shared" ref="R439:R502" si="21">SUM(M439:P439)</f>
        <v>2303.1000000000004</v>
      </c>
      <c r="S439" s="27">
        <f t="shared" ref="S439:S502" si="22">+R439*1.18</f>
        <v>2717.6580000000004</v>
      </c>
    </row>
    <row r="440" spans="1:19" x14ac:dyDescent="0.3">
      <c r="A440">
        <v>200010076</v>
      </c>
      <c r="B440" s="18">
        <v>273723367</v>
      </c>
      <c r="C440" s="22">
        <v>46251</v>
      </c>
      <c r="D440" s="19">
        <v>875252986106</v>
      </c>
      <c r="E440" s="37">
        <v>43794</v>
      </c>
      <c r="F440" t="s">
        <v>42</v>
      </c>
      <c r="G440">
        <v>0.5</v>
      </c>
      <c r="K440">
        <v>0.5</v>
      </c>
      <c r="L440" t="s">
        <v>19</v>
      </c>
      <c r="M440">
        <v>1031.7</v>
      </c>
      <c r="N440">
        <v>42.5</v>
      </c>
      <c r="O440">
        <v>0</v>
      </c>
      <c r="P440">
        <v>488.8</v>
      </c>
      <c r="Q440" s="5"/>
      <c r="R440" s="26">
        <f t="shared" si="21"/>
        <v>1563</v>
      </c>
      <c r="S440" s="27">
        <f t="shared" si="22"/>
        <v>1844.34</v>
      </c>
    </row>
    <row r="441" spans="1:19" x14ac:dyDescent="0.3">
      <c r="A441">
        <v>200010076</v>
      </c>
      <c r="B441" s="18">
        <v>273723367</v>
      </c>
      <c r="C441" s="22">
        <v>46251</v>
      </c>
      <c r="D441" s="19">
        <v>875252996162</v>
      </c>
      <c r="E441" s="37">
        <v>43813</v>
      </c>
      <c r="F441" t="s">
        <v>42</v>
      </c>
      <c r="G441">
        <v>0.5</v>
      </c>
      <c r="K441">
        <v>0.5</v>
      </c>
      <c r="L441" t="s">
        <v>19</v>
      </c>
      <c r="M441">
        <v>1031.7</v>
      </c>
      <c r="N441">
        <v>42.5</v>
      </c>
      <c r="O441">
        <v>0</v>
      </c>
      <c r="P441">
        <v>488.8</v>
      </c>
      <c r="Q441" s="5"/>
      <c r="R441" s="26">
        <f t="shared" si="21"/>
        <v>1563</v>
      </c>
      <c r="S441" s="27">
        <f t="shared" si="22"/>
        <v>1844.34</v>
      </c>
    </row>
    <row r="442" spans="1:19" x14ac:dyDescent="0.3">
      <c r="A442">
        <v>200010076</v>
      </c>
      <c r="B442" s="18">
        <v>273723367</v>
      </c>
      <c r="C442" s="22">
        <v>46251</v>
      </c>
      <c r="D442" s="19">
        <v>875253013823</v>
      </c>
      <c r="E442" s="37">
        <v>43828</v>
      </c>
      <c r="F442" t="s">
        <v>42</v>
      </c>
      <c r="G442">
        <v>0.5</v>
      </c>
      <c r="K442">
        <v>0.5</v>
      </c>
      <c r="L442" t="s">
        <v>19</v>
      </c>
      <c r="M442">
        <v>1031.7</v>
      </c>
      <c r="N442">
        <v>42.5</v>
      </c>
      <c r="O442">
        <v>0</v>
      </c>
      <c r="P442">
        <v>488.8</v>
      </c>
      <c r="Q442" s="5"/>
      <c r="R442" s="26">
        <f t="shared" si="21"/>
        <v>1563</v>
      </c>
      <c r="S442" s="27">
        <f t="shared" si="22"/>
        <v>1844.34</v>
      </c>
    </row>
    <row r="443" spans="1:19" x14ac:dyDescent="0.3">
      <c r="A443">
        <v>200010076</v>
      </c>
      <c r="B443" s="18">
        <v>273723367</v>
      </c>
      <c r="C443" s="22">
        <v>46251</v>
      </c>
      <c r="D443" s="19">
        <v>875253027727</v>
      </c>
      <c r="E443" s="37">
        <v>43830</v>
      </c>
      <c r="F443" t="s">
        <v>42</v>
      </c>
      <c r="G443">
        <v>0.5</v>
      </c>
      <c r="K443">
        <v>0.5</v>
      </c>
      <c r="L443" t="s">
        <v>19</v>
      </c>
      <c r="M443">
        <v>1031.7</v>
      </c>
      <c r="N443">
        <v>42.5</v>
      </c>
      <c r="O443">
        <v>0</v>
      </c>
      <c r="P443">
        <v>488.8</v>
      </c>
      <c r="Q443" s="5"/>
      <c r="R443" s="26">
        <f t="shared" si="21"/>
        <v>1563</v>
      </c>
      <c r="S443" s="27">
        <f t="shared" si="22"/>
        <v>1844.34</v>
      </c>
    </row>
    <row r="444" spans="1:19" x14ac:dyDescent="0.3">
      <c r="A444">
        <v>200010076</v>
      </c>
      <c r="B444" s="18">
        <v>273723367</v>
      </c>
      <c r="C444" s="22">
        <v>46251</v>
      </c>
      <c r="D444" s="19">
        <v>875253042944</v>
      </c>
      <c r="E444" s="37">
        <v>43855</v>
      </c>
      <c r="F444" t="s">
        <v>42</v>
      </c>
      <c r="G444">
        <v>0.5</v>
      </c>
      <c r="K444">
        <v>0.5</v>
      </c>
      <c r="L444" t="s">
        <v>19</v>
      </c>
      <c r="M444">
        <v>1031.7</v>
      </c>
      <c r="N444">
        <v>42.5</v>
      </c>
      <c r="O444" s="8">
        <v>0</v>
      </c>
      <c r="P444" s="8">
        <v>488.8</v>
      </c>
      <c r="Q444" s="5"/>
      <c r="R444" s="26">
        <f t="shared" si="21"/>
        <v>1563</v>
      </c>
      <c r="S444" s="27">
        <f t="shared" si="22"/>
        <v>1844.34</v>
      </c>
    </row>
    <row r="445" spans="1:19" x14ac:dyDescent="0.3">
      <c r="A445">
        <v>200010076</v>
      </c>
      <c r="B445" s="18">
        <v>273723367</v>
      </c>
      <c r="C445" s="22">
        <v>46251</v>
      </c>
      <c r="D445" s="19">
        <v>875253056675</v>
      </c>
      <c r="E445" s="37">
        <v>43857</v>
      </c>
      <c r="F445" t="s">
        <v>42</v>
      </c>
      <c r="G445">
        <v>0.5</v>
      </c>
      <c r="K445">
        <v>0.5</v>
      </c>
      <c r="L445" t="s">
        <v>19</v>
      </c>
      <c r="M445">
        <v>1031.7</v>
      </c>
      <c r="N445">
        <v>42.5</v>
      </c>
      <c r="O445" s="8">
        <v>0</v>
      </c>
      <c r="P445" s="8">
        <v>488.8</v>
      </c>
      <c r="Q445" s="5"/>
      <c r="R445" s="26">
        <f t="shared" si="21"/>
        <v>1563</v>
      </c>
      <c r="S445" s="27">
        <f t="shared" si="22"/>
        <v>1844.34</v>
      </c>
    </row>
    <row r="446" spans="1:19" x14ac:dyDescent="0.3">
      <c r="A446">
        <v>200010076</v>
      </c>
      <c r="B446" s="18">
        <v>273723367</v>
      </c>
      <c r="C446" s="22">
        <v>46251</v>
      </c>
      <c r="D446" s="19">
        <v>875253069848</v>
      </c>
      <c r="E446" s="37">
        <v>43876</v>
      </c>
      <c r="F446" t="s">
        <v>42</v>
      </c>
      <c r="G446">
        <v>0.5</v>
      </c>
      <c r="K446">
        <v>0.5</v>
      </c>
      <c r="L446" t="s">
        <v>19</v>
      </c>
      <c r="M446">
        <v>1031.7</v>
      </c>
      <c r="N446">
        <v>42.5</v>
      </c>
      <c r="O446">
        <v>0</v>
      </c>
      <c r="P446">
        <v>488.8</v>
      </c>
      <c r="Q446" s="5"/>
      <c r="R446" s="26">
        <f t="shared" si="21"/>
        <v>1563</v>
      </c>
      <c r="S446" s="27">
        <f t="shared" si="22"/>
        <v>1844.34</v>
      </c>
    </row>
    <row r="447" spans="1:19" x14ac:dyDescent="0.3">
      <c r="A447">
        <v>200010076</v>
      </c>
      <c r="B447" s="18">
        <v>273723367</v>
      </c>
      <c r="C447" s="22">
        <v>46251</v>
      </c>
      <c r="D447" s="19">
        <v>875253084425</v>
      </c>
      <c r="E447" s="37">
        <v>43898</v>
      </c>
      <c r="F447" t="s">
        <v>42</v>
      </c>
      <c r="G447">
        <v>0.5</v>
      </c>
      <c r="K447">
        <v>0.5</v>
      </c>
      <c r="L447" t="s">
        <v>19</v>
      </c>
      <c r="M447">
        <v>1031.7</v>
      </c>
      <c r="N447">
        <v>42.5</v>
      </c>
      <c r="O447" s="8">
        <v>0</v>
      </c>
      <c r="P447" s="8">
        <v>488.8</v>
      </c>
      <c r="Q447" s="5"/>
      <c r="R447" s="26">
        <f t="shared" si="21"/>
        <v>1563</v>
      </c>
      <c r="S447" s="27">
        <f t="shared" si="22"/>
        <v>1844.34</v>
      </c>
    </row>
    <row r="448" spans="1:19" x14ac:dyDescent="0.3">
      <c r="A448">
        <v>200010076</v>
      </c>
      <c r="B448" s="18">
        <v>273723367</v>
      </c>
      <c r="C448" s="22">
        <v>46251</v>
      </c>
      <c r="D448" s="19">
        <v>875253096819</v>
      </c>
      <c r="E448" s="37">
        <v>43907</v>
      </c>
      <c r="F448" t="s">
        <v>42</v>
      </c>
      <c r="G448">
        <v>0.5</v>
      </c>
      <c r="K448">
        <v>0.5</v>
      </c>
      <c r="L448" t="s">
        <v>19</v>
      </c>
      <c r="M448">
        <v>1031.7</v>
      </c>
      <c r="N448">
        <v>42.5</v>
      </c>
      <c r="O448" s="8">
        <v>0</v>
      </c>
      <c r="P448">
        <v>488.8</v>
      </c>
      <c r="Q448" s="5"/>
      <c r="R448" s="26">
        <f t="shared" si="21"/>
        <v>1563</v>
      </c>
      <c r="S448" s="27">
        <f t="shared" si="22"/>
        <v>1844.34</v>
      </c>
    </row>
    <row r="449" spans="1:19" x14ac:dyDescent="0.3">
      <c r="A449">
        <v>200010076</v>
      </c>
      <c r="B449" s="18">
        <v>273723367</v>
      </c>
      <c r="C449" s="22">
        <v>46251</v>
      </c>
      <c r="D449" s="19">
        <v>875253111488</v>
      </c>
      <c r="E449" s="37">
        <v>43913</v>
      </c>
      <c r="F449" t="s">
        <v>42</v>
      </c>
      <c r="G449">
        <v>0.5</v>
      </c>
      <c r="K449">
        <v>0.5</v>
      </c>
      <c r="L449" t="s">
        <v>19</v>
      </c>
      <c r="M449">
        <v>1031.7</v>
      </c>
      <c r="N449">
        <v>42.5</v>
      </c>
      <c r="O449" s="8">
        <v>0</v>
      </c>
      <c r="P449">
        <v>488.8</v>
      </c>
      <c r="Q449" s="5"/>
      <c r="R449" s="26">
        <f t="shared" si="21"/>
        <v>1563</v>
      </c>
      <c r="S449" s="27">
        <f t="shared" si="22"/>
        <v>1844.34</v>
      </c>
    </row>
    <row r="450" spans="1:19" x14ac:dyDescent="0.3">
      <c r="A450">
        <v>200010076</v>
      </c>
      <c r="B450" s="18">
        <v>273723367</v>
      </c>
      <c r="C450" s="22">
        <v>46251</v>
      </c>
      <c r="D450" s="19">
        <v>875253124834</v>
      </c>
      <c r="E450" s="37">
        <v>43915</v>
      </c>
      <c r="F450" t="s">
        <v>42</v>
      </c>
      <c r="G450">
        <v>0.5</v>
      </c>
      <c r="K450">
        <v>0.5</v>
      </c>
      <c r="L450" t="s">
        <v>19</v>
      </c>
      <c r="M450">
        <v>1031.7</v>
      </c>
      <c r="N450">
        <v>42.5</v>
      </c>
      <c r="O450" s="8">
        <v>0</v>
      </c>
      <c r="P450">
        <v>488.8</v>
      </c>
      <c r="Q450" s="5"/>
      <c r="R450" s="26">
        <f t="shared" si="21"/>
        <v>1563</v>
      </c>
      <c r="S450" s="27">
        <f t="shared" si="22"/>
        <v>1844.34</v>
      </c>
    </row>
    <row r="451" spans="1:19" x14ac:dyDescent="0.3">
      <c r="A451">
        <v>200010076</v>
      </c>
      <c r="B451" s="18">
        <v>273723367</v>
      </c>
      <c r="C451" s="22">
        <v>46251</v>
      </c>
      <c r="D451" s="19">
        <v>875253136404</v>
      </c>
      <c r="E451" s="37">
        <v>43923</v>
      </c>
      <c r="F451" t="s">
        <v>42</v>
      </c>
      <c r="G451">
        <v>0.5</v>
      </c>
      <c r="K451">
        <v>0.5</v>
      </c>
      <c r="L451" t="s">
        <v>19</v>
      </c>
      <c r="M451">
        <v>1031.7</v>
      </c>
      <c r="N451">
        <v>42.5</v>
      </c>
      <c r="O451" s="8">
        <v>0</v>
      </c>
      <c r="P451">
        <v>488.8</v>
      </c>
      <c r="Q451" s="5"/>
      <c r="R451" s="26">
        <f t="shared" si="21"/>
        <v>1563</v>
      </c>
      <c r="S451" s="27">
        <f t="shared" si="22"/>
        <v>1844.34</v>
      </c>
    </row>
    <row r="452" spans="1:19" x14ac:dyDescent="0.3">
      <c r="A452">
        <v>200010076</v>
      </c>
      <c r="B452" s="18">
        <v>273723367</v>
      </c>
      <c r="C452" s="22">
        <v>46251</v>
      </c>
      <c r="D452" s="19">
        <v>875253147732</v>
      </c>
      <c r="E452" s="37">
        <v>43926</v>
      </c>
      <c r="F452" t="s">
        <v>42</v>
      </c>
      <c r="G452">
        <v>0.5</v>
      </c>
      <c r="K452">
        <v>0.5</v>
      </c>
      <c r="L452" t="s">
        <v>19</v>
      </c>
      <c r="M452">
        <v>1031.7</v>
      </c>
      <c r="N452">
        <v>42.5</v>
      </c>
      <c r="O452" s="8">
        <v>0</v>
      </c>
      <c r="P452">
        <v>488.8</v>
      </c>
      <c r="Q452" s="5"/>
      <c r="R452" s="26">
        <f t="shared" si="21"/>
        <v>1563</v>
      </c>
      <c r="S452" s="27">
        <f t="shared" si="22"/>
        <v>1844.34</v>
      </c>
    </row>
    <row r="453" spans="1:19" x14ac:dyDescent="0.3">
      <c r="A453">
        <v>200010076</v>
      </c>
      <c r="B453" s="18">
        <v>273723367</v>
      </c>
      <c r="C453" s="22">
        <v>46251</v>
      </c>
      <c r="D453" s="19">
        <v>875253160843</v>
      </c>
      <c r="E453" s="37">
        <v>43927</v>
      </c>
      <c r="F453" t="s">
        <v>42</v>
      </c>
      <c r="G453">
        <v>0.5</v>
      </c>
      <c r="K453">
        <v>0.5</v>
      </c>
      <c r="L453" t="s">
        <v>19</v>
      </c>
      <c r="M453">
        <v>1031.7</v>
      </c>
      <c r="N453">
        <v>42.5</v>
      </c>
      <c r="O453" s="8">
        <v>0</v>
      </c>
      <c r="P453" s="8">
        <v>488.8</v>
      </c>
      <c r="Q453" s="5"/>
      <c r="R453" s="26">
        <f t="shared" si="21"/>
        <v>1563</v>
      </c>
      <c r="S453" s="27">
        <f t="shared" si="22"/>
        <v>1844.34</v>
      </c>
    </row>
    <row r="454" spans="1:19" x14ac:dyDescent="0.3">
      <c r="A454">
        <v>200010076</v>
      </c>
      <c r="B454" s="18">
        <v>273723367</v>
      </c>
      <c r="C454" s="22">
        <v>46251</v>
      </c>
      <c r="D454" s="19">
        <v>875253181360</v>
      </c>
      <c r="E454" s="37">
        <v>43928</v>
      </c>
      <c r="F454" t="s">
        <v>42</v>
      </c>
      <c r="G454">
        <v>0.5</v>
      </c>
      <c r="K454">
        <v>0.5</v>
      </c>
      <c r="L454" t="s">
        <v>19</v>
      </c>
      <c r="M454">
        <v>1031.7</v>
      </c>
      <c r="N454">
        <v>42.5</v>
      </c>
      <c r="O454" s="8">
        <v>0</v>
      </c>
      <c r="P454">
        <v>488.8</v>
      </c>
      <c r="Q454" s="5"/>
      <c r="R454" s="26">
        <f t="shared" si="21"/>
        <v>1563</v>
      </c>
      <c r="S454" s="27">
        <f t="shared" si="22"/>
        <v>1844.34</v>
      </c>
    </row>
    <row r="455" spans="1:19" x14ac:dyDescent="0.3">
      <c r="A455">
        <v>200010076</v>
      </c>
      <c r="B455" s="18">
        <v>273723367</v>
      </c>
      <c r="C455" s="22">
        <v>46251</v>
      </c>
      <c r="D455" s="19">
        <v>875253206404</v>
      </c>
      <c r="E455" s="37">
        <v>43947</v>
      </c>
      <c r="F455" t="s">
        <v>42</v>
      </c>
      <c r="G455">
        <v>0.5</v>
      </c>
      <c r="K455">
        <v>0.5</v>
      </c>
      <c r="L455" t="s">
        <v>19</v>
      </c>
      <c r="M455">
        <v>1031.7</v>
      </c>
      <c r="N455">
        <v>42.5</v>
      </c>
      <c r="O455" s="8">
        <v>0</v>
      </c>
      <c r="P455">
        <v>488.8</v>
      </c>
      <c r="Q455" s="5"/>
      <c r="R455" s="26">
        <f t="shared" si="21"/>
        <v>1563</v>
      </c>
      <c r="S455" s="27">
        <f t="shared" si="22"/>
        <v>1844.34</v>
      </c>
    </row>
    <row r="456" spans="1:19" x14ac:dyDescent="0.3">
      <c r="A456">
        <v>200010076</v>
      </c>
      <c r="B456" s="18">
        <v>273723367</v>
      </c>
      <c r="C456" s="22">
        <v>46251</v>
      </c>
      <c r="D456" s="19">
        <v>875310948763</v>
      </c>
      <c r="E456" s="37">
        <v>7871476</v>
      </c>
      <c r="F456" t="s">
        <v>43</v>
      </c>
      <c r="G456">
        <v>33</v>
      </c>
      <c r="H456">
        <v>47</v>
      </c>
      <c r="I456">
        <v>35</v>
      </c>
      <c r="J456">
        <v>30</v>
      </c>
      <c r="K456">
        <v>32.6</v>
      </c>
      <c r="L456" t="s">
        <v>19</v>
      </c>
      <c r="M456">
        <v>12955.4</v>
      </c>
      <c r="N456">
        <v>2178</v>
      </c>
      <c r="O456" s="8">
        <v>0</v>
      </c>
      <c r="P456">
        <v>6885.7</v>
      </c>
      <c r="Q456" s="5"/>
      <c r="R456" s="26">
        <f t="shared" si="21"/>
        <v>22019.1</v>
      </c>
      <c r="S456" s="27">
        <f t="shared" si="22"/>
        <v>25982.537999999997</v>
      </c>
    </row>
    <row r="457" spans="1:19" x14ac:dyDescent="0.3">
      <c r="A457">
        <v>200010076</v>
      </c>
      <c r="B457" s="18">
        <v>273723367</v>
      </c>
      <c r="C457" s="22">
        <v>46251</v>
      </c>
      <c r="D457" s="19">
        <v>875310962583</v>
      </c>
      <c r="E457" s="37">
        <v>7871708</v>
      </c>
      <c r="F457" t="s">
        <v>43</v>
      </c>
      <c r="G457">
        <v>18</v>
      </c>
      <c r="H457">
        <v>43</v>
      </c>
      <c r="I457">
        <v>37</v>
      </c>
      <c r="J457">
        <v>23</v>
      </c>
      <c r="K457">
        <v>17.8</v>
      </c>
      <c r="L457" t="s">
        <v>19</v>
      </c>
      <c r="M457">
        <v>7135.4</v>
      </c>
      <c r="N457">
        <v>1188</v>
      </c>
      <c r="O457">
        <v>0</v>
      </c>
      <c r="P457">
        <v>3787.2</v>
      </c>
      <c r="Q457" s="5"/>
      <c r="R457" s="26">
        <f t="shared" si="21"/>
        <v>12110.599999999999</v>
      </c>
      <c r="S457" s="27">
        <f t="shared" si="22"/>
        <v>14290.507999999998</v>
      </c>
    </row>
    <row r="458" spans="1:19" x14ac:dyDescent="0.3">
      <c r="A458">
        <v>200010076</v>
      </c>
      <c r="B458" s="18">
        <v>273723367</v>
      </c>
      <c r="C458" s="22">
        <v>46251</v>
      </c>
      <c r="D458" s="19">
        <v>875310976384</v>
      </c>
      <c r="E458" s="37">
        <v>39899</v>
      </c>
      <c r="F458" t="s">
        <v>43</v>
      </c>
      <c r="G458">
        <v>9.5</v>
      </c>
      <c r="H458">
        <v>65</v>
      </c>
      <c r="I458">
        <v>29</v>
      </c>
      <c r="J458">
        <v>28</v>
      </c>
      <c r="K458">
        <v>9.5</v>
      </c>
      <c r="L458" t="s">
        <v>19</v>
      </c>
      <c r="M458">
        <v>4276.3999999999996</v>
      </c>
      <c r="N458">
        <v>627</v>
      </c>
      <c r="O458" s="8">
        <v>180</v>
      </c>
      <c r="P458" s="8">
        <v>2231.1</v>
      </c>
      <c r="Q458" s="5"/>
      <c r="R458" s="26">
        <f t="shared" si="21"/>
        <v>7314.5</v>
      </c>
      <c r="S458" s="27">
        <f t="shared" si="22"/>
        <v>8631.1099999999988</v>
      </c>
    </row>
    <row r="459" spans="1:19" x14ac:dyDescent="0.3">
      <c r="A459">
        <v>200010076</v>
      </c>
      <c r="B459" s="18">
        <v>273723367</v>
      </c>
      <c r="C459" s="22">
        <v>46251</v>
      </c>
      <c r="D459" s="19">
        <v>875323455154</v>
      </c>
      <c r="E459" s="37">
        <v>37299</v>
      </c>
      <c r="F459" t="s">
        <v>43</v>
      </c>
      <c r="G459">
        <v>9.5</v>
      </c>
      <c r="H459">
        <v>88</v>
      </c>
      <c r="I459">
        <v>25</v>
      </c>
      <c r="J459">
        <v>25</v>
      </c>
      <c r="K459">
        <v>9.5</v>
      </c>
      <c r="L459" t="s">
        <v>19</v>
      </c>
      <c r="M459">
        <v>3414.5</v>
      </c>
      <c r="N459">
        <v>627</v>
      </c>
      <c r="O459" s="8">
        <v>180</v>
      </c>
      <c r="P459" s="8">
        <v>1838.9</v>
      </c>
      <c r="Q459" s="5"/>
      <c r="R459" s="26">
        <f t="shared" si="21"/>
        <v>6060.4</v>
      </c>
      <c r="S459" s="27">
        <f t="shared" si="22"/>
        <v>7151.271999999999</v>
      </c>
    </row>
    <row r="460" spans="1:19" x14ac:dyDescent="0.3">
      <c r="A460">
        <v>200010076</v>
      </c>
      <c r="B460" s="18">
        <v>273723367</v>
      </c>
      <c r="C460" s="22">
        <v>46251</v>
      </c>
      <c r="D460" s="19">
        <v>875323458977</v>
      </c>
      <c r="E460" s="37">
        <v>7871449</v>
      </c>
      <c r="F460" t="s">
        <v>43</v>
      </c>
      <c r="G460">
        <v>10</v>
      </c>
      <c r="H460">
        <v>49</v>
      </c>
      <c r="I460">
        <v>30</v>
      </c>
      <c r="J460">
        <v>27</v>
      </c>
      <c r="K460">
        <v>10</v>
      </c>
      <c r="L460" t="s">
        <v>19</v>
      </c>
      <c r="M460">
        <v>3529.5</v>
      </c>
      <c r="N460">
        <v>660</v>
      </c>
      <c r="O460" s="8">
        <v>180</v>
      </c>
      <c r="P460" s="8">
        <v>1906.2</v>
      </c>
      <c r="Q460" s="5"/>
      <c r="R460" s="26">
        <f t="shared" si="21"/>
        <v>6275.7</v>
      </c>
      <c r="S460" s="27">
        <f t="shared" si="22"/>
        <v>7405.3259999999991</v>
      </c>
    </row>
    <row r="461" spans="1:19" x14ac:dyDescent="0.3">
      <c r="A461">
        <v>200010076</v>
      </c>
      <c r="B461" s="18">
        <v>273723367</v>
      </c>
      <c r="C461" s="22">
        <v>46251</v>
      </c>
      <c r="D461" s="19">
        <v>875323469117</v>
      </c>
      <c r="E461" s="37">
        <v>39635</v>
      </c>
      <c r="F461" t="s">
        <v>43</v>
      </c>
      <c r="G461">
        <v>0.82</v>
      </c>
      <c r="H461">
        <v>34</v>
      </c>
      <c r="I461">
        <v>25</v>
      </c>
      <c r="J461">
        <v>11</v>
      </c>
      <c r="K461">
        <v>1.6</v>
      </c>
      <c r="L461" t="s">
        <v>19</v>
      </c>
      <c r="M461">
        <v>1512.5</v>
      </c>
      <c r="N461">
        <v>132</v>
      </c>
      <c r="O461" s="8">
        <v>180</v>
      </c>
      <c r="P461" s="8">
        <v>748.3</v>
      </c>
      <c r="Q461" s="5"/>
      <c r="R461" s="26">
        <f t="shared" si="21"/>
        <v>2572.8000000000002</v>
      </c>
      <c r="S461" s="27">
        <f t="shared" si="22"/>
        <v>3035.904</v>
      </c>
    </row>
    <row r="462" spans="1:19" x14ac:dyDescent="0.3">
      <c r="A462">
        <v>200010076</v>
      </c>
      <c r="B462" s="18">
        <v>273723367</v>
      </c>
      <c r="C462" s="22">
        <v>46251</v>
      </c>
      <c r="D462" s="19">
        <v>875323476369</v>
      </c>
      <c r="E462" s="37">
        <v>39789</v>
      </c>
      <c r="F462" t="s">
        <v>43</v>
      </c>
      <c r="G462">
        <v>9.5</v>
      </c>
      <c r="H462">
        <v>74</v>
      </c>
      <c r="I462">
        <v>28</v>
      </c>
      <c r="J462">
        <v>26</v>
      </c>
      <c r="K462">
        <v>9.5</v>
      </c>
      <c r="L462" t="s">
        <v>19</v>
      </c>
      <c r="M462">
        <v>3414.5</v>
      </c>
      <c r="N462">
        <v>627</v>
      </c>
      <c r="O462" s="8">
        <v>180</v>
      </c>
      <c r="P462" s="8">
        <v>1838.9</v>
      </c>
      <c r="Q462" s="5"/>
      <c r="R462" s="26">
        <f t="shared" si="21"/>
        <v>6060.4</v>
      </c>
      <c r="S462" s="27">
        <f t="shared" si="22"/>
        <v>7151.271999999999</v>
      </c>
    </row>
    <row r="463" spans="1:19" x14ac:dyDescent="0.3">
      <c r="A463">
        <v>200010076</v>
      </c>
      <c r="B463" s="18">
        <v>273723367</v>
      </c>
      <c r="C463" s="22">
        <v>46251</v>
      </c>
      <c r="D463" s="19">
        <v>875323483419</v>
      </c>
      <c r="E463" s="37">
        <v>39790</v>
      </c>
      <c r="F463" t="s">
        <v>43</v>
      </c>
      <c r="G463">
        <v>7.5</v>
      </c>
      <c r="H463">
        <v>68</v>
      </c>
      <c r="I463">
        <v>25</v>
      </c>
      <c r="J463">
        <v>25</v>
      </c>
      <c r="K463">
        <v>7.5</v>
      </c>
      <c r="L463" t="s">
        <v>19</v>
      </c>
      <c r="M463">
        <v>2954.2</v>
      </c>
      <c r="N463">
        <v>495</v>
      </c>
      <c r="O463" s="8">
        <v>180</v>
      </c>
      <c r="P463" s="8">
        <v>1569.4</v>
      </c>
      <c r="Q463" s="5"/>
      <c r="R463" s="26">
        <f t="shared" si="21"/>
        <v>5198.6000000000004</v>
      </c>
      <c r="S463" s="27">
        <f t="shared" si="22"/>
        <v>6134.348</v>
      </c>
    </row>
    <row r="464" spans="1:19" x14ac:dyDescent="0.3">
      <c r="A464">
        <v>200010076</v>
      </c>
      <c r="B464" s="18">
        <v>273723367</v>
      </c>
      <c r="C464" s="22">
        <v>46251</v>
      </c>
      <c r="D464" s="19">
        <v>875323493523</v>
      </c>
      <c r="E464" s="37">
        <v>7871484</v>
      </c>
      <c r="F464" t="s">
        <v>43</v>
      </c>
      <c r="G464">
        <v>10.66</v>
      </c>
      <c r="H464">
        <v>39</v>
      </c>
      <c r="I464">
        <v>34</v>
      </c>
      <c r="J464">
        <v>29</v>
      </c>
      <c r="K464">
        <v>10.7</v>
      </c>
      <c r="L464" t="s">
        <v>19</v>
      </c>
      <c r="M464">
        <v>4745.8</v>
      </c>
      <c r="N464">
        <v>726</v>
      </c>
      <c r="O464" s="8">
        <v>180</v>
      </c>
      <c r="P464">
        <v>2489.6999999999998</v>
      </c>
      <c r="Q464" s="5"/>
      <c r="R464" s="26">
        <f t="shared" si="21"/>
        <v>8141.5</v>
      </c>
      <c r="S464" s="27">
        <f t="shared" si="22"/>
        <v>9606.9699999999993</v>
      </c>
    </row>
    <row r="465" spans="1:19" x14ac:dyDescent="0.3">
      <c r="A465">
        <v>200010076</v>
      </c>
      <c r="B465" s="18">
        <v>273723367</v>
      </c>
      <c r="C465" s="22">
        <v>46251</v>
      </c>
      <c r="D465" s="19">
        <v>875323499782</v>
      </c>
      <c r="E465" s="37">
        <v>7871547</v>
      </c>
      <c r="F465" t="s">
        <v>43</v>
      </c>
      <c r="G465">
        <v>3.54</v>
      </c>
      <c r="H465">
        <v>38</v>
      </c>
      <c r="I465">
        <v>18</v>
      </c>
      <c r="J465">
        <v>15</v>
      </c>
      <c r="K465">
        <v>3.5</v>
      </c>
      <c r="L465" t="s">
        <v>19</v>
      </c>
      <c r="M465">
        <v>1833.3</v>
      </c>
      <c r="N465">
        <v>231</v>
      </c>
      <c r="O465" s="8">
        <v>180</v>
      </c>
      <c r="P465" s="8">
        <v>939.3</v>
      </c>
      <c r="Q465" s="5"/>
      <c r="R465" s="26">
        <f t="shared" si="21"/>
        <v>3183.6000000000004</v>
      </c>
      <c r="S465" s="27">
        <f t="shared" si="22"/>
        <v>3756.6480000000001</v>
      </c>
    </row>
    <row r="466" spans="1:19" x14ac:dyDescent="0.3">
      <c r="A466">
        <v>200010076</v>
      </c>
      <c r="B466" s="18">
        <v>273723367</v>
      </c>
      <c r="C466" s="22">
        <v>46251</v>
      </c>
      <c r="D466" s="19">
        <v>875323511949</v>
      </c>
      <c r="E466" s="37">
        <v>40581</v>
      </c>
      <c r="F466" t="s">
        <v>43</v>
      </c>
      <c r="G466">
        <v>22.5</v>
      </c>
      <c r="H466">
        <v>110</v>
      </c>
      <c r="I466">
        <v>35</v>
      </c>
      <c r="J466">
        <v>34</v>
      </c>
      <c r="K466">
        <v>22.5</v>
      </c>
      <c r="L466" t="s">
        <v>19</v>
      </c>
      <c r="M466">
        <v>8947.9</v>
      </c>
      <c r="N466">
        <v>1485</v>
      </c>
      <c r="O466" s="8">
        <v>180</v>
      </c>
      <c r="P466" s="8">
        <v>4747</v>
      </c>
      <c r="Q466" s="5"/>
      <c r="R466" s="26">
        <f t="shared" si="21"/>
        <v>15359.9</v>
      </c>
      <c r="S466" s="27">
        <f t="shared" si="22"/>
        <v>18124.681999999997</v>
      </c>
    </row>
    <row r="467" spans="1:19" x14ac:dyDescent="0.3">
      <c r="A467">
        <v>200010076</v>
      </c>
      <c r="B467" s="18">
        <v>273723367</v>
      </c>
      <c r="C467" s="22">
        <v>46251</v>
      </c>
      <c r="D467" s="19">
        <v>875323517763</v>
      </c>
      <c r="E467" s="37">
        <v>40691</v>
      </c>
      <c r="F467" t="s">
        <v>43</v>
      </c>
      <c r="G467">
        <v>9</v>
      </c>
      <c r="H467">
        <v>69</v>
      </c>
      <c r="I467">
        <v>28</v>
      </c>
      <c r="J467">
        <v>27</v>
      </c>
      <c r="K467">
        <v>9</v>
      </c>
      <c r="L467" t="s">
        <v>19</v>
      </c>
      <c r="M467">
        <v>3299.4</v>
      </c>
      <c r="N467">
        <v>594</v>
      </c>
      <c r="O467" s="8">
        <v>180</v>
      </c>
      <c r="P467" s="8">
        <v>1771.5</v>
      </c>
      <c r="Q467" s="5"/>
      <c r="R467" s="26">
        <f t="shared" si="21"/>
        <v>5844.9</v>
      </c>
      <c r="S467" s="27">
        <f t="shared" si="22"/>
        <v>6896.9819999999991</v>
      </c>
    </row>
    <row r="468" spans="1:19" x14ac:dyDescent="0.3">
      <c r="A468">
        <v>200010076</v>
      </c>
      <c r="B468" s="18">
        <v>273723367</v>
      </c>
      <c r="C468" s="22">
        <v>46251</v>
      </c>
      <c r="D468" s="19">
        <v>875323522935</v>
      </c>
      <c r="E468" s="37">
        <v>40858</v>
      </c>
      <c r="F468" t="s">
        <v>43</v>
      </c>
      <c r="G468">
        <v>17.5</v>
      </c>
      <c r="H468">
        <v>84</v>
      </c>
      <c r="I468">
        <v>37</v>
      </c>
      <c r="J468">
        <v>33</v>
      </c>
      <c r="K468">
        <v>17.5</v>
      </c>
      <c r="L468" t="s">
        <v>19</v>
      </c>
      <c r="M468">
        <v>6964.7</v>
      </c>
      <c r="N468">
        <v>1155</v>
      </c>
      <c r="O468" s="8">
        <v>180</v>
      </c>
      <c r="P468">
        <v>3694.5</v>
      </c>
      <c r="Q468" s="5"/>
      <c r="R468" s="26">
        <f t="shared" si="21"/>
        <v>11994.2</v>
      </c>
      <c r="S468" s="27">
        <f t="shared" si="22"/>
        <v>14153.156000000001</v>
      </c>
    </row>
    <row r="469" spans="1:19" x14ac:dyDescent="0.3">
      <c r="A469">
        <v>200010076</v>
      </c>
      <c r="B469" s="18">
        <v>273723367</v>
      </c>
      <c r="C469" s="22">
        <v>46251</v>
      </c>
      <c r="D469" s="19">
        <v>875323530771</v>
      </c>
      <c r="E469" s="37">
        <v>7871612</v>
      </c>
      <c r="F469" t="s">
        <v>43</v>
      </c>
      <c r="G469">
        <v>2.4500000000000002</v>
      </c>
      <c r="H469">
        <v>37</v>
      </c>
      <c r="I469">
        <v>17</v>
      </c>
      <c r="J469">
        <v>11</v>
      </c>
      <c r="K469">
        <v>2.4</v>
      </c>
      <c r="L469" t="s">
        <v>19</v>
      </c>
      <c r="M469">
        <v>1671.3</v>
      </c>
      <c r="N469">
        <v>165</v>
      </c>
      <c r="O469" s="8">
        <v>180</v>
      </c>
      <c r="P469" s="8">
        <v>835.5</v>
      </c>
      <c r="Q469" s="5"/>
      <c r="R469" s="26">
        <f t="shared" si="21"/>
        <v>2851.8</v>
      </c>
      <c r="S469" s="27">
        <f t="shared" si="22"/>
        <v>3365.1240000000003</v>
      </c>
    </row>
    <row r="470" spans="1:19" x14ac:dyDescent="0.3">
      <c r="A470">
        <v>200010076</v>
      </c>
      <c r="B470" s="18">
        <v>273723367</v>
      </c>
      <c r="C470" s="22">
        <v>46251</v>
      </c>
      <c r="D470" s="19">
        <v>875323535534</v>
      </c>
      <c r="E470" s="37">
        <v>41299</v>
      </c>
      <c r="F470" t="s">
        <v>43</v>
      </c>
      <c r="G470">
        <v>8.5</v>
      </c>
      <c r="H470">
        <v>69</v>
      </c>
      <c r="I470">
        <v>26</v>
      </c>
      <c r="J470">
        <v>26</v>
      </c>
      <c r="K470">
        <v>8.5</v>
      </c>
      <c r="L470" t="s">
        <v>19</v>
      </c>
      <c r="M470">
        <v>3184.4</v>
      </c>
      <c r="N470">
        <v>561</v>
      </c>
      <c r="O470" s="8">
        <v>0</v>
      </c>
      <c r="P470" s="8">
        <v>1704.2</v>
      </c>
      <c r="Q470" s="5"/>
      <c r="R470" s="26">
        <f t="shared" si="21"/>
        <v>5449.6</v>
      </c>
      <c r="S470" s="27">
        <f t="shared" si="22"/>
        <v>6430.5280000000002</v>
      </c>
    </row>
    <row r="471" spans="1:19" x14ac:dyDescent="0.3">
      <c r="A471">
        <v>200010076</v>
      </c>
      <c r="B471" s="18">
        <v>273723367</v>
      </c>
      <c r="C471" s="22">
        <v>46251</v>
      </c>
      <c r="D471" s="19">
        <v>875323544664</v>
      </c>
      <c r="E471" s="37">
        <v>41375</v>
      </c>
      <c r="F471" t="s">
        <v>43</v>
      </c>
      <c r="G471">
        <v>16.5</v>
      </c>
      <c r="H471">
        <v>100</v>
      </c>
      <c r="I471">
        <v>32</v>
      </c>
      <c r="J471">
        <v>30</v>
      </c>
      <c r="K471">
        <v>16.5</v>
      </c>
      <c r="L471" t="s">
        <v>19</v>
      </c>
      <c r="M471">
        <v>6623.3</v>
      </c>
      <c r="N471">
        <v>1089</v>
      </c>
      <c r="O471" s="8">
        <v>180</v>
      </c>
      <c r="P471" s="8">
        <v>3509.1</v>
      </c>
      <c r="Q471" s="5"/>
      <c r="R471" s="26">
        <f t="shared" si="21"/>
        <v>11401.4</v>
      </c>
      <c r="S471" s="27">
        <f t="shared" si="22"/>
        <v>13453.651999999998</v>
      </c>
    </row>
    <row r="472" spans="1:19" x14ac:dyDescent="0.3">
      <c r="A472">
        <v>200010076</v>
      </c>
      <c r="B472" s="18">
        <v>273723367</v>
      </c>
      <c r="C472" s="22">
        <v>46251</v>
      </c>
      <c r="D472" s="19">
        <v>875323547972</v>
      </c>
      <c r="E472" s="37">
        <v>41494</v>
      </c>
      <c r="F472" t="s">
        <v>43</v>
      </c>
      <c r="G472">
        <v>13</v>
      </c>
      <c r="H472">
        <v>69</v>
      </c>
      <c r="I472">
        <v>33</v>
      </c>
      <c r="J472">
        <v>32</v>
      </c>
      <c r="K472">
        <v>13</v>
      </c>
      <c r="L472" t="s">
        <v>19</v>
      </c>
      <c r="M472">
        <v>5428.5</v>
      </c>
      <c r="N472">
        <v>858</v>
      </c>
      <c r="O472" s="8">
        <v>180</v>
      </c>
      <c r="P472" s="8">
        <v>2860.4</v>
      </c>
      <c r="Q472" s="5"/>
      <c r="R472" s="26">
        <f t="shared" si="21"/>
        <v>9326.9</v>
      </c>
      <c r="S472" s="27">
        <f t="shared" si="22"/>
        <v>11005.741999999998</v>
      </c>
    </row>
    <row r="473" spans="1:19" x14ac:dyDescent="0.3">
      <c r="A473">
        <v>200010076</v>
      </c>
      <c r="B473" s="18">
        <v>273723367</v>
      </c>
      <c r="C473" s="22">
        <v>46251</v>
      </c>
      <c r="D473" s="19">
        <v>875323554014</v>
      </c>
      <c r="E473" s="37">
        <v>41502</v>
      </c>
      <c r="F473" t="s">
        <v>43</v>
      </c>
      <c r="G473">
        <v>12.5</v>
      </c>
      <c r="H473">
        <v>69</v>
      </c>
      <c r="I473">
        <v>33</v>
      </c>
      <c r="J473">
        <v>32</v>
      </c>
      <c r="K473">
        <v>12.5</v>
      </c>
      <c r="L473" t="s">
        <v>19</v>
      </c>
      <c r="M473">
        <v>5257.8</v>
      </c>
      <c r="N473">
        <v>825</v>
      </c>
      <c r="O473" s="8">
        <v>180</v>
      </c>
      <c r="P473" s="8">
        <v>2767.7</v>
      </c>
      <c r="Q473" s="5"/>
      <c r="R473" s="26">
        <f t="shared" si="21"/>
        <v>9030.5</v>
      </c>
      <c r="S473" s="27">
        <f t="shared" si="22"/>
        <v>10655.99</v>
      </c>
    </row>
    <row r="474" spans="1:19" x14ac:dyDescent="0.3">
      <c r="A474">
        <v>200010076</v>
      </c>
      <c r="B474" s="18">
        <v>273723367</v>
      </c>
      <c r="C474" s="22">
        <v>46251</v>
      </c>
      <c r="D474" s="19">
        <v>875323563740</v>
      </c>
      <c r="E474" s="37">
        <v>41539</v>
      </c>
      <c r="F474" t="s">
        <v>43</v>
      </c>
      <c r="G474">
        <v>6</v>
      </c>
      <c r="H474">
        <v>61</v>
      </c>
      <c r="I474">
        <v>23</v>
      </c>
      <c r="J474">
        <v>23</v>
      </c>
      <c r="K474">
        <v>6</v>
      </c>
      <c r="L474" t="s">
        <v>19</v>
      </c>
      <c r="M474">
        <v>2609.1</v>
      </c>
      <c r="N474">
        <v>396</v>
      </c>
      <c r="O474" s="8">
        <v>180</v>
      </c>
      <c r="P474">
        <v>1367.3</v>
      </c>
      <c r="Q474" s="5"/>
      <c r="R474" s="26">
        <f t="shared" si="21"/>
        <v>4552.3999999999996</v>
      </c>
      <c r="S474" s="27">
        <f t="shared" si="22"/>
        <v>5371.8319999999994</v>
      </c>
    </row>
    <row r="475" spans="1:19" x14ac:dyDescent="0.3">
      <c r="A475">
        <v>200010076</v>
      </c>
      <c r="B475" s="18">
        <v>273723367</v>
      </c>
      <c r="C475" s="22">
        <v>46251</v>
      </c>
      <c r="D475" s="19">
        <v>875323567860</v>
      </c>
      <c r="E475" s="37">
        <v>41549</v>
      </c>
      <c r="F475" t="s">
        <v>43</v>
      </c>
      <c r="G475">
        <v>3</v>
      </c>
      <c r="H475">
        <v>42</v>
      </c>
      <c r="I475">
        <v>21</v>
      </c>
      <c r="J475">
        <v>20</v>
      </c>
      <c r="K475">
        <v>3</v>
      </c>
      <c r="L475" t="s">
        <v>19</v>
      </c>
      <c r="M475">
        <v>1700.6</v>
      </c>
      <c r="N475">
        <v>198</v>
      </c>
      <c r="O475" s="8">
        <v>180</v>
      </c>
      <c r="P475">
        <v>863.9</v>
      </c>
      <c r="Q475" s="5"/>
      <c r="R475" s="26">
        <f t="shared" si="21"/>
        <v>2942.5</v>
      </c>
      <c r="S475" s="27">
        <f t="shared" si="22"/>
        <v>3472.1499999999996</v>
      </c>
    </row>
    <row r="476" spans="1:19" x14ac:dyDescent="0.3">
      <c r="A476">
        <v>200010076</v>
      </c>
      <c r="B476" s="18">
        <v>273723367</v>
      </c>
      <c r="C476" s="22">
        <v>46251</v>
      </c>
      <c r="D476" s="19">
        <v>875323572881</v>
      </c>
      <c r="E476" s="37">
        <v>7871655</v>
      </c>
      <c r="F476" t="s">
        <v>43</v>
      </c>
      <c r="G476">
        <v>3</v>
      </c>
      <c r="H476">
        <v>31</v>
      </c>
      <c r="I476">
        <v>14</v>
      </c>
      <c r="J476">
        <v>14</v>
      </c>
      <c r="K476">
        <v>3</v>
      </c>
      <c r="L476" t="s">
        <v>19</v>
      </c>
      <c r="M476">
        <v>1700.6</v>
      </c>
      <c r="N476">
        <v>198</v>
      </c>
      <c r="O476" s="8">
        <v>180</v>
      </c>
      <c r="P476" s="8">
        <v>863.9</v>
      </c>
      <c r="Q476" s="5"/>
      <c r="R476" s="26">
        <f t="shared" si="21"/>
        <v>2942.5</v>
      </c>
      <c r="S476" s="27">
        <f t="shared" si="22"/>
        <v>3472.1499999999996</v>
      </c>
    </row>
    <row r="477" spans="1:19" x14ac:dyDescent="0.3">
      <c r="A477">
        <v>200010076</v>
      </c>
      <c r="B477" s="18">
        <v>273723367</v>
      </c>
      <c r="C477" s="22">
        <v>46251</v>
      </c>
      <c r="D477" s="19">
        <v>875323578412</v>
      </c>
      <c r="E477" s="37">
        <v>41755</v>
      </c>
      <c r="F477" t="s">
        <v>43</v>
      </c>
      <c r="G477">
        <v>12</v>
      </c>
      <c r="H477">
        <v>71</v>
      </c>
      <c r="I477">
        <v>32</v>
      </c>
      <c r="J477">
        <v>31</v>
      </c>
      <c r="K477">
        <v>12</v>
      </c>
      <c r="L477" t="s">
        <v>19</v>
      </c>
      <c r="M477">
        <v>5087.1000000000004</v>
      </c>
      <c r="N477">
        <v>792</v>
      </c>
      <c r="O477" s="8">
        <v>180</v>
      </c>
      <c r="P477" s="8">
        <v>2675</v>
      </c>
      <c r="Q477" s="5"/>
      <c r="R477" s="26">
        <f t="shared" si="21"/>
        <v>8734.1</v>
      </c>
      <c r="S477" s="27">
        <f t="shared" si="22"/>
        <v>10306.237999999999</v>
      </c>
    </row>
    <row r="478" spans="1:19" x14ac:dyDescent="0.3">
      <c r="A478">
        <v>200010076</v>
      </c>
      <c r="B478" s="18">
        <v>273723367</v>
      </c>
      <c r="C478" s="22">
        <v>46251</v>
      </c>
      <c r="D478" s="19">
        <v>875323582882</v>
      </c>
      <c r="E478" s="37">
        <v>41756</v>
      </c>
      <c r="F478" t="s">
        <v>43</v>
      </c>
      <c r="G478">
        <v>6</v>
      </c>
      <c r="H478">
        <v>51</v>
      </c>
      <c r="I478">
        <v>27</v>
      </c>
      <c r="J478">
        <v>25</v>
      </c>
      <c r="K478">
        <v>6</v>
      </c>
      <c r="L478" t="s">
        <v>19</v>
      </c>
      <c r="M478">
        <v>2609.1</v>
      </c>
      <c r="N478">
        <v>396</v>
      </c>
      <c r="O478" s="8">
        <v>180</v>
      </c>
      <c r="P478" s="8">
        <v>1367.3</v>
      </c>
      <c r="Q478" s="5"/>
      <c r="R478" s="26">
        <f t="shared" si="21"/>
        <v>4552.3999999999996</v>
      </c>
      <c r="S478" s="27">
        <f t="shared" si="22"/>
        <v>5371.8319999999994</v>
      </c>
    </row>
    <row r="479" spans="1:19" x14ac:dyDescent="0.3">
      <c r="A479">
        <v>200010076</v>
      </c>
      <c r="B479" s="18">
        <v>273723367</v>
      </c>
      <c r="C479" s="22">
        <v>46251</v>
      </c>
      <c r="D479" s="19">
        <v>875323590424</v>
      </c>
      <c r="E479" s="37">
        <v>41805</v>
      </c>
      <c r="F479" t="s">
        <v>43</v>
      </c>
      <c r="G479">
        <v>1</v>
      </c>
      <c r="H479">
        <v>46</v>
      </c>
      <c r="I479">
        <v>36</v>
      </c>
      <c r="J479">
        <v>35</v>
      </c>
      <c r="K479">
        <v>9.6999999999999993</v>
      </c>
      <c r="L479" t="s">
        <v>19</v>
      </c>
      <c r="M479">
        <v>3529.5</v>
      </c>
      <c r="N479">
        <v>660</v>
      </c>
      <c r="O479" s="8">
        <v>0</v>
      </c>
      <c r="P479" s="8">
        <v>1906.2</v>
      </c>
      <c r="Q479" s="5"/>
      <c r="R479" s="26">
        <f t="shared" si="21"/>
        <v>6095.7</v>
      </c>
      <c r="S479" s="27">
        <f t="shared" si="22"/>
        <v>7192.9259999999995</v>
      </c>
    </row>
    <row r="480" spans="1:19" x14ac:dyDescent="0.3">
      <c r="A480">
        <v>200010076</v>
      </c>
      <c r="B480" s="18">
        <v>273723367</v>
      </c>
      <c r="C480" s="22">
        <v>46251</v>
      </c>
      <c r="D480" s="19">
        <v>875323595210</v>
      </c>
      <c r="E480" s="37">
        <v>41809</v>
      </c>
      <c r="F480" t="s">
        <v>43</v>
      </c>
      <c r="G480">
        <v>5.5</v>
      </c>
      <c r="H480">
        <v>68</v>
      </c>
      <c r="I480">
        <v>23</v>
      </c>
      <c r="J480">
        <v>19</v>
      </c>
      <c r="K480">
        <v>5.5</v>
      </c>
      <c r="L480" t="s">
        <v>19</v>
      </c>
      <c r="M480">
        <v>2494</v>
      </c>
      <c r="N480">
        <v>363</v>
      </c>
      <c r="O480" s="8">
        <v>180</v>
      </c>
      <c r="P480" s="8">
        <v>1299.9000000000001</v>
      </c>
      <c r="Q480" s="5"/>
      <c r="R480" s="26">
        <f t="shared" si="21"/>
        <v>4336.8999999999996</v>
      </c>
      <c r="S480" s="27">
        <f t="shared" si="22"/>
        <v>5117.5419999999995</v>
      </c>
    </row>
    <row r="481" spans="1:19" x14ac:dyDescent="0.3">
      <c r="A481">
        <v>200010076</v>
      </c>
      <c r="B481" s="18">
        <v>273723367</v>
      </c>
      <c r="C481" s="22">
        <v>46251</v>
      </c>
      <c r="D481" s="19">
        <v>875323600267</v>
      </c>
      <c r="E481" s="37">
        <v>41838</v>
      </c>
      <c r="F481" t="s">
        <v>43</v>
      </c>
      <c r="G481">
        <v>9.5</v>
      </c>
      <c r="H481">
        <v>50</v>
      </c>
      <c r="I481">
        <v>33</v>
      </c>
      <c r="J481">
        <v>32</v>
      </c>
      <c r="K481">
        <v>9.5</v>
      </c>
      <c r="L481" t="s">
        <v>19</v>
      </c>
      <c r="M481">
        <v>3414.5</v>
      </c>
      <c r="N481">
        <v>627</v>
      </c>
      <c r="O481" s="8">
        <v>180</v>
      </c>
      <c r="P481" s="8">
        <v>1838.9</v>
      </c>
      <c r="Q481" s="5"/>
      <c r="R481" s="26">
        <f t="shared" si="21"/>
        <v>6060.4</v>
      </c>
      <c r="S481" s="27">
        <f t="shared" si="22"/>
        <v>7151.271999999999</v>
      </c>
    </row>
    <row r="482" spans="1:19" x14ac:dyDescent="0.3">
      <c r="A482">
        <v>200010076</v>
      </c>
      <c r="B482" s="18">
        <v>273723367</v>
      </c>
      <c r="C482" s="22">
        <v>46251</v>
      </c>
      <c r="D482" s="19">
        <v>875323605843</v>
      </c>
      <c r="E482" s="37">
        <v>42202</v>
      </c>
      <c r="F482" t="s">
        <v>43</v>
      </c>
      <c r="G482">
        <v>5</v>
      </c>
      <c r="H482">
        <v>48</v>
      </c>
      <c r="I482">
        <v>24</v>
      </c>
      <c r="J482">
        <v>24</v>
      </c>
      <c r="K482">
        <v>5</v>
      </c>
      <c r="L482" t="s">
        <v>19</v>
      </c>
      <c r="M482">
        <v>2231.6999999999998</v>
      </c>
      <c r="N482">
        <v>330</v>
      </c>
      <c r="O482" s="8">
        <v>180</v>
      </c>
      <c r="P482" s="8">
        <v>1165.5999999999999</v>
      </c>
      <c r="Q482" s="5"/>
      <c r="R482" s="26">
        <f t="shared" si="21"/>
        <v>3907.2999999999997</v>
      </c>
      <c r="S482" s="27">
        <f t="shared" si="22"/>
        <v>4610.6139999999996</v>
      </c>
    </row>
    <row r="483" spans="1:19" x14ac:dyDescent="0.3">
      <c r="A483">
        <v>200010076</v>
      </c>
      <c r="B483" s="18">
        <v>273723367</v>
      </c>
      <c r="C483" s="22">
        <v>46251</v>
      </c>
      <c r="D483" s="19">
        <v>875323609850</v>
      </c>
      <c r="E483" s="37">
        <v>42278</v>
      </c>
      <c r="F483" t="s">
        <v>43</v>
      </c>
      <c r="G483">
        <v>5.5</v>
      </c>
      <c r="H483">
        <v>45</v>
      </c>
      <c r="I483">
        <v>26</v>
      </c>
      <c r="J483">
        <v>26</v>
      </c>
      <c r="K483">
        <v>5.5</v>
      </c>
      <c r="L483" t="s">
        <v>19</v>
      </c>
      <c r="M483">
        <v>2494</v>
      </c>
      <c r="N483">
        <v>363</v>
      </c>
      <c r="O483" s="8">
        <v>180</v>
      </c>
      <c r="P483" s="8">
        <v>1299.9000000000001</v>
      </c>
      <c r="Q483" s="5"/>
      <c r="R483" s="26">
        <f t="shared" si="21"/>
        <v>4336.8999999999996</v>
      </c>
      <c r="S483" s="27">
        <f t="shared" si="22"/>
        <v>5117.5419999999995</v>
      </c>
    </row>
    <row r="484" spans="1:19" x14ac:dyDescent="0.3">
      <c r="A484">
        <v>200010076</v>
      </c>
      <c r="B484" s="18">
        <v>273723367</v>
      </c>
      <c r="C484" s="22">
        <v>46251</v>
      </c>
      <c r="D484" s="19">
        <v>875323613473</v>
      </c>
      <c r="E484" s="37">
        <v>42351</v>
      </c>
      <c r="F484" t="s">
        <v>43</v>
      </c>
      <c r="G484">
        <v>4.5</v>
      </c>
      <c r="H484">
        <v>47</v>
      </c>
      <c r="I484">
        <v>24</v>
      </c>
      <c r="J484">
        <v>23</v>
      </c>
      <c r="K484">
        <v>4.5</v>
      </c>
      <c r="L484" t="s">
        <v>19</v>
      </c>
      <c r="M484">
        <v>2098.9</v>
      </c>
      <c r="N484">
        <v>297</v>
      </c>
      <c r="O484" s="8">
        <v>180</v>
      </c>
      <c r="P484" s="8">
        <v>1090.0999999999999</v>
      </c>
      <c r="Q484" s="5"/>
      <c r="R484" s="26">
        <f t="shared" si="21"/>
        <v>3666</v>
      </c>
      <c r="S484" s="27">
        <f t="shared" si="22"/>
        <v>4325.88</v>
      </c>
    </row>
    <row r="485" spans="1:19" x14ac:dyDescent="0.3">
      <c r="A485">
        <v>200010076</v>
      </c>
      <c r="B485" s="18">
        <v>273723367</v>
      </c>
      <c r="C485" s="22">
        <v>46251</v>
      </c>
      <c r="D485" s="19">
        <v>875323618085</v>
      </c>
      <c r="E485" s="37">
        <v>42413</v>
      </c>
      <c r="F485" t="s">
        <v>43</v>
      </c>
      <c r="G485">
        <v>10.5</v>
      </c>
      <c r="H485">
        <v>68</v>
      </c>
      <c r="I485">
        <v>30</v>
      </c>
      <c r="J485">
        <v>29</v>
      </c>
      <c r="K485">
        <v>10.5</v>
      </c>
      <c r="L485" t="s">
        <v>19</v>
      </c>
      <c r="M485">
        <v>4575.1000000000004</v>
      </c>
      <c r="N485">
        <v>693</v>
      </c>
      <c r="O485" s="8">
        <v>180</v>
      </c>
      <c r="P485" s="8">
        <v>2397</v>
      </c>
      <c r="Q485" s="5"/>
      <c r="R485" s="26">
        <f t="shared" si="21"/>
        <v>7845.1</v>
      </c>
      <c r="S485" s="27">
        <f t="shared" si="22"/>
        <v>9257.2180000000008</v>
      </c>
    </row>
    <row r="486" spans="1:19" x14ac:dyDescent="0.3">
      <c r="A486">
        <v>200010076</v>
      </c>
      <c r="B486" s="18">
        <v>273723367</v>
      </c>
      <c r="C486" s="22">
        <v>46251</v>
      </c>
      <c r="D486" s="19">
        <v>875323622055</v>
      </c>
      <c r="E486" s="37">
        <v>42426</v>
      </c>
      <c r="F486" t="s">
        <v>43</v>
      </c>
      <c r="G486">
        <v>10</v>
      </c>
      <c r="H486">
        <v>58</v>
      </c>
      <c r="I486">
        <v>32</v>
      </c>
      <c r="J486">
        <v>31</v>
      </c>
      <c r="K486">
        <v>10</v>
      </c>
      <c r="L486" t="s">
        <v>19</v>
      </c>
      <c r="M486">
        <v>3529.5</v>
      </c>
      <c r="N486">
        <v>660</v>
      </c>
      <c r="O486" s="8">
        <v>180</v>
      </c>
      <c r="P486" s="8">
        <v>1906.2</v>
      </c>
      <c r="Q486" s="5"/>
      <c r="R486" s="26">
        <f t="shared" si="21"/>
        <v>6275.7</v>
      </c>
      <c r="S486" s="27">
        <f t="shared" si="22"/>
        <v>7405.3259999999991</v>
      </c>
    </row>
    <row r="487" spans="1:19" x14ac:dyDescent="0.3">
      <c r="A487">
        <v>200010076</v>
      </c>
      <c r="B487" s="18">
        <v>273723367</v>
      </c>
      <c r="C487" s="22">
        <v>46251</v>
      </c>
      <c r="D487" s="19">
        <v>875323626072</v>
      </c>
      <c r="E487" s="37">
        <v>42472</v>
      </c>
      <c r="F487" t="s">
        <v>43</v>
      </c>
      <c r="G487">
        <v>8.5</v>
      </c>
      <c r="H487">
        <v>66</v>
      </c>
      <c r="I487">
        <v>28</v>
      </c>
      <c r="J487">
        <v>26</v>
      </c>
      <c r="K487">
        <v>8.5</v>
      </c>
      <c r="L487" t="s">
        <v>19</v>
      </c>
      <c r="M487">
        <v>3184.4</v>
      </c>
      <c r="N487">
        <v>561</v>
      </c>
      <c r="O487" s="8">
        <v>180</v>
      </c>
      <c r="P487" s="8">
        <v>1704.2</v>
      </c>
      <c r="Q487" s="5"/>
      <c r="R487" s="26">
        <f t="shared" si="21"/>
        <v>5629.6</v>
      </c>
      <c r="S487" s="27">
        <f t="shared" si="22"/>
        <v>6642.9279999999999</v>
      </c>
    </row>
    <row r="488" spans="1:19" x14ac:dyDescent="0.3">
      <c r="A488">
        <v>200010076</v>
      </c>
      <c r="B488" s="18">
        <v>273723367</v>
      </c>
      <c r="C488" s="22">
        <v>46251</v>
      </c>
      <c r="D488" s="19">
        <v>875323630855</v>
      </c>
      <c r="E488" s="37">
        <v>42659</v>
      </c>
      <c r="F488" t="s">
        <v>43</v>
      </c>
      <c r="G488">
        <v>4</v>
      </c>
      <c r="H488">
        <v>44</v>
      </c>
      <c r="I488">
        <v>23</v>
      </c>
      <c r="J488">
        <v>23</v>
      </c>
      <c r="K488">
        <v>4</v>
      </c>
      <c r="L488" t="s">
        <v>19</v>
      </c>
      <c r="M488">
        <v>1966.1</v>
      </c>
      <c r="N488">
        <v>264</v>
      </c>
      <c r="O488" s="8">
        <v>180</v>
      </c>
      <c r="P488" s="8">
        <v>1014.7</v>
      </c>
      <c r="Q488" s="5"/>
      <c r="R488" s="26">
        <f t="shared" si="21"/>
        <v>3424.8</v>
      </c>
      <c r="S488" s="27">
        <f t="shared" si="22"/>
        <v>4041.2640000000001</v>
      </c>
    </row>
    <row r="489" spans="1:19" x14ac:dyDescent="0.3">
      <c r="A489">
        <v>200010076</v>
      </c>
      <c r="B489" s="18">
        <v>273723367</v>
      </c>
      <c r="C489" s="22">
        <v>46251</v>
      </c>
      <c r="D489" s="19">
        <v>875323634450</v>
      </c>
      <c r="E489" s="37">
        <v>7871724</v>
      </c>
      <c r="F489" t="s">
        <v>43</v>
      </c>
      <c r="G489">
        <v>2.4500000000000002</v>
      </c>
      <c r="H489">
        <v>31</v>
      </c>
      <c r="I489">
        <v>17</v>
      </c>
      <c r="J489">
        <v>14</v>
      </c>
      <c r="K489">
        <v>2.4</v>
      </c>
      <c r="L489" t="s">
        <v>19</v>
      </c>
      <c r="M489">
        <v>1671.3</v>
      </c>
      <c r="N489">
        <v>165</v>
      </c>
      <c r="O489" s="8">
        <v>180</v>
      </c>
      <c r="P489">
        <v>835.5</v>
      </c>
      <c r="Q489" s="5"/>
      <c r="R489" s="26">
        <f t="shared" si="21"/>
        <v>2851.8</v>
      </c>
      <c r="S489" s="27">
        <f t="shared" si="22"/>
        <v>3365.1240000000003</v>
      </c>
    </row>
    <row r="490" spans="1:19" x14ac:dyDescent="0.3">
      <c r="A490">
        <v>200010076</v>
      </c>
      <c r="B490" s="18">
        <v>273723367</v>
      </c>
      <c r="C490" s="22">
        <v>46251</v>
      </c>
      <c r="D490" s="19">
        <v>875323637735</v>
      </c>
      <c r="E490" s="37">
        <v>4113643914</v>
      </c>
      <c r="F490" t="s">
        <v>43</v>
      </c>
      <c r="G490">
        <v>5</v>
      </c>
      <c r="H490">
        <v>52</v>
      </c>
      <c r="I490">
        <v>23</v>
      </c>
      <c r="J490">
        <v>22</v>
      </c>
      <c r="K490">
        <v>5</v>
      </c>
      <c r="L490" t="s">
        <v>19</v>
      </c>
      <c r="M490">
        <v>2231.6999999999998</v>
      </c>
      <c r="N490">
        <v>330</v>
      </c>
      <c r="O490" s="8">
        <v>180</v>
      </c>
      <c r="P490">
        <v>1165.5999999999999</v>
      </c>
      <c r="Q490" s="5"/>
      <c r="R490" s="26">
        <f t="shared" si="21"/>
        <v>3907.2999999999997</v>
      </c>
      <c r="S490" s="27">
        <f t="shared" si="22"/>
        <v>4610.6139999999996</v>
      </c>
    </row>
    <row r="491" spans="1:19" x14ac:dyDescent="0.3">
      <c r="A491">
        <v>200010076</v>
      </c>
      <c r="B491" s="18">
        <v>273723367</v>
      </c>
      <c r="C491" s="22">
        <v>46251</v>
      </c>
      <c r="D491" s="19">
        <v>875323642105</v>
      </c>
      <c r="E491" s="37">
        <v>42804</v>
      </c>
      <c r="F491" t="s">
        <v>43</v>
      </c>
      <c r="G491">
        <v>7</v>
      </c>
      <c r="H491">
        <v>43</v>
      </c>
      <c r="I491">
        <v>31</v>
      </c>
      <c r="J491">
        <v>29</v>
      </c>
      <c r="K491">
        <v>7</v>
      </c>
      <c r="L491" t="s">
        <v>19</v>
      </c>
      <c r="M491">
        <v>2839.2</v>
      </c>
      <c r="N491">
        <v>462</v>
      </c>
      <c r="O491" s="8">
        <v>180</v>
      </c>
      <c r="P491" s="8">
        <v>1502.1</v>
      </c>
      <c r="Q491" s="5"/>
      <c r="R491" s="26">
        <f t="shared" si="21"/>
        <v>4983.2999999999993</v>
      </c>
      <c r="S491" s="27">
        <f t="shared" si="22"/>
        <v>5880.293999999999</v>
      </c>
    </row>
    <row r="492" spans="1:19" x14ac:dyDescent="0.3">
      <c r="A492">
        <v>200010076</v>
      </c>
      <c r="B492" s="18">
        <v>273723367</v>
      </c>
      <c r="C492" s="22">
        <v>46251</v>
      </c>
      <c r="D492" s="19">
        <v>875323647427</v>
      </c>
      <c r="E492" s="37">
        <v>42816</v>
      </c>
      <c r="F492" t="s">
        <v>43</v>
      </c>
      <c r="G492">
        <v>13.5</v>
      </c>
      <c r="H492">
        <v>77</v>
      </c>
      <c r="I492">
        <v>32</v>
      </c>
      <c r="J492">
        <v>32</v>
      </c>
      <c r="K492">
        <v>13.5</v>
      </c>
      <c r="L492" t="s">
        <v>19</v>
      </c>
      <c r="M492">
        <v>5599.2</v>
      </c>
      <c r="N492">
        <v>891</v>
      </c>
      <c r="O492" s="8">
        <v>180</v>
      </c>
      <c r="P492">
        <v>2953</v>
      </c>
      <c r="Q492" s="5"/>
      <c r="R492" s="26">
        <f t="shared" si="21"/>
        <v>9623.2000000000007</v>
      </c>
      <c r="S492" s="27">
        <f t="shared" si="22"/>
        <v>11355.376</v>
      </c>
    </row>
    <row r="493" spans="1:19" x14ac:dyDescent="0.3">
      <c r="A493">
        <v>200010076</v>
      </c>
      <c r="B493" s="18">
        <v>273723367</v>
      </c>
      <c r="C493" s="22">
        <v>46251</v>
      </c>
      <c r="D493" s="19">
        <v>875323651430</v>
      </c>
      <c r="E493" s="37">
        <v>42826</v>
      </c>
      <c r="F493" t="s">
        <v>43</v>
      </c>
      <c r="G493">
        <v>2.5</v>
      </c>
      <c r="H493">
        <v>50</v>
      </c>
      <c r="I493">
        <v>16</v>
      </c>
      <c r="J493">
        <v>16</v>
      </c>
      <c r="K493">
        <v>2.5</v>
      </c>
      <c r="L493" t="s">
        <v>19</v>
      </c>
      <c r="M493">
        <v>1671.3</v>
      </c>
      <c r="N493">
        <v>165</v>
      </c>
      <c r="O493" s="8">
        <v>180</v>
      </c>
      <c r="P493" s="8">
        <v>835.5</v>
      </c>
      <c r="Q493" s="5"/>
      <c r="R493" s="26">
        <f t="shared" si="21"/>
        <v>2851.8</v>
      </c>
      <c r="S493" s="27">
        <f t="shared" si="22"/>
        <v>3365.1240000000003</v>
      </c>
    </row>
    <row r="494" spans="1:19" x14ac:dyDescent="0.3">
      <c r="A494">
        <v>200010076</v>
      </c>
      <c r="B494" s="18">
        <v>273723367</v>
      </c>
      <c r="C494" s="22">
        <v>46251</v>
      </c>
      <c r="D494" s="19">
        <v>875323662471</v>
      </c>
      <c r="E494" s="37">
        <v>42872</v>
      </c>
      <c r="F494" t="s">
        <v>43</v>
      </c>
      <c r="G494">
        <v>13.5</v>
      </c>
      <c r="H494">
        <v>72</v>
      </c>
      <c r="I494">
        <v>33</v>
      </c>
      <c r="J494">
        <v>33</v>
      </c>
      <c r="K494">
        <v>13.5</v>
      </c>
      <c r="L494" t="s">
        <v>19</v>
      </c>
      <c r="M494">
        <v>5599.2</v>
      </c>
      <c r="N494">
        <v>891</v>
      </c>
      <c r="O494" s="8">
        <v>180</v>
      </c>
      <c r="P494">
        <v>2953</v>
      </c>
      <c r="Q494" s="5"/>
      <c r="R494" s="26">
        <f t="shared" si="21"/>
        <v>9623.2000000000007</v>
      </c>
      <c r="S494" s="27">
        <f t="shared" si="22"/>
        <v>11355.376</v>
      </c>
    </row>
    <row r="495" spans="1:19" x14ac:dyDescent="0.3">
      <c r="A495">
        <v>200010076</v>
      </c>
      <c r="B495" s="18">
        <v>273723367</v>
      </c>
      <c r="C495" s="22">
        <v>46251</v>
      </c>
      <c r="D495" s="19">
        <v>875323664280</v>
      </c>
      <c r="E495" s="37">
        <v>42883</v>
      </c>
      <c r="F495" t="s">
        <v>43</v>
      </c>
      <c r="G495">
        <v>6</v>
      </c>
      <c r="H495">
        <v>57</v>
      </c>
      <c r="I495">
        <v>24</v>
      </c>
      <c r="J495">
        <v>23</v>
      </c>
      <c r="K495">
        <v>6</v>
      </c>
      <c r="L495" t="s">
        <v>19</v>
      </c>
      <c r="M495">
        <v>2609.1</v>
      </c>
      <c r="N495">
        <v>396</v>
      </c>
      <c r="O495" s="8">
        <v>180</v>
      </c>
      <c r="P495" s="8">
        <v>1367.3</v>
      </c>
      <c r="Q495" s="5"/>
      <c r="R495" s="26">
        <f t="shared" si="21"/>
        <v>4552.3999999999996</v>
      </c>
      <c r="S495" s="27">
        <f t="shared" si="22"/>
        <v>5371.8319999999994</v>
      </c>
    </row>
    <row r="496" spans="1:19" x14ac:dyDescent="0.3">
      <c r="A496">
        <v>200010076</v>
      </c>
      <c r="B496" s="18">
        <v>273723367</v>
      </c>
      <c r="C496" s="22">
        <v>46251</v>
      </c>
      <c r="D496" s="19">
        <v>875323671866</v>
      </c>
      <c r="E496" s="37">
        <v>42922</v>
      </c>
      <c r="F496" t="s">
        <v>43</v>
      </c>
      <c r="G496">
        <v>9.5</v>
      </c>
      <c r="H496">
        <v>100</v>
      </c>
      <c r="I496">
        <v>24</v>
      </c>
      <c r="J496">
        <v>22</v>
      </c>
      <c r="K496">
        <v>9.5</v>
      </c>
      <c r="L496" t="s">
        <v>19</v>
      </c>
      <c r="M496">
        <v>3414.5</v>
      </c>
      <c r="N496">
        <v>627</v>
      </c>
      <c r="O496" s="8">
        <v>0</v>
      </c>
      <c r="P496" s="8">
        <v>1838.9</v>
      </c>
      <c r="Q496" s="5"/>
      <c r="R496" s="26">
        <f t="shared" si="21"/>
        <v>5880.4</v>
      </c>
      <c r="S496" s="27">
        <f t="shared" si="22"/>
        <v>6938.8719999999994</v>
      </c>
    </row>
    <row r="497" spans="1:19" x14ac:dyDescent="0.3">
      <c r="A497">
        <v>200010076</v>
      </c>
      <c r="B497" s="18">
        <v>273723367</v>
      </c>
      <c r="C497" s="22">
        <v>46251</v>
      </c>
      <c r="D497" s="19">
        <v>875323676629</v>
      </c>
      <c r="E497" s="37">
        <v>4118010433</v>
      </c>
      <c r="F497" t="s">
        <v>43</v>
      </c>
      <c r="G497">
        <v>4.5</v>
      </c>
      <c r="H497">
        <v>50</v>
      </c>
      <c r="I497">
        <v>23</v>
      </c>
      <c r="J497">
        <v>23</v>
      </c>
      <c r="K497">
        <v>4.5</v>
      </c>
      <c r="L497" t="s">
        <v>19</v>
      </c>
      <c r="M497">
        <v>2098.9</v>
      </c>
      <c r="N497">
        <v>297</v>
      </c>
      <c r="O497" s="8">
        <v>180</v>
      </c>
      <c r="P497" s="8">
        <v>1090.0999999999999</v>
      </c>
      <c r="Q497" s="5"/>
      <c r="R497" s="26">
        <f t="shared" si="21"/>
        <v>3666</v>
      </c>
      <c r="S497" s="27">
        <f t="shared" si="22"/>
        <v>4325.88</v>
      </c>
    </row>
    <row r="498" spans="1:19" x14ac:dyDescent="0.3">
      <c r="A498">
        <v>200010076</v>
      </c>
      <c r="B498" s="18">
        <v>273723367</v>
      </c>
      <c r="C498" s="22">
        <v>46251</v>
      </c>
      <c r="D498" s="19">
        <v>875323681308</v>
      </c>
      <c r="E498" s="37">
        <v>7871742</v>
      </c>
      <c r="F498" t="s">
        <v>43</v>
      </c>
      <c r="G498">
        <v>3.5</v>
      </c>
      <c r="H498">
        <v>37</v>
      </c>
      <c r="I498">
        <v>16</v>
      </c>
      <c r="J498">
        <v>15</v>
      </c>
      <c r="K498">
        <v>3.5</v>
      </c>
      <c r="L498" t="s">
        <v>19</v>
      </c>
      <c r="M498">
        <v>1833.3</v>
      </c>
      <c r="N498">
        <v>231</v>
      </c>
      <c r="O498" s="8">
        <v>180</v>
      </c>
      <c r="P498">
        <v>939.3</v>
      </c>
      <c r="Q498" s="5"/>
      <c r="R498" s="26">
        <f t="shared" si="21"/>
        <v>3183.6000000000004</v>
      </c>
      <c r="S498" s="27">
        <f t="shared" si="22"/>
        <v>3756.6480000000001</v>
      </c>
    </row>
    <row r="499" spans="1:19" x14ac:dyDescent="0.3">
      <c r="A499">
        <v>200010076</v>
      </c>
      <c r="B499" s="18">
        <v>273723367</v>
      </c>
      <c r="C499" s="22">
        <v>46251</v>
      </c>
      <c r="D499" s="19">
        <v>875323685575</v>
      </c>
      <c r="E499" s="37">
        <v>42980</v>
      </c>
      <c r="F499" t="s">
        <v>43</v>
      </c>
      <c r="G499">
        <v>14.5</v>
      </c>
      <c r="H499">
        <v>82</v>
      </c>
      <c r="I499">
        <v>33</v>
      </c>
      <c r="J499">
        <v>31</v>
      </c>
      <c r="K499">
        <v>14.5</v>
      </c>
      <c r="L499" t="s">
        <v>19</v>
      </c>
      <c r="M499">
        <v>5940.6</v>
      </c>
      <c r="N499">
        <v>957</v>
      </c>
      <c r="O499" s="8">
        <v>180</v>
      </c>
      <c r="P499" s="8">
        <v>3138.4</v>
      </c>
      <c r="Q499" s="5"/>
      <c r="R499" s="26">
        <f t="shared" si="21"/>
        <v>10216</v>
      </c>
      <c r="S499" s="27">
        <f t="shared" si="22"/>
        <v>12054.88</v>
      </c>
    </row>
    <row r="500" spans="1:19" x14ac:dyDescent="0.3">
      <c r="A500">
        <v>200010076</v>
      </c>
      <c r="B500" s="18">
        <v>273723367</v>
      </c>
      <c r="C500" s="22">
        <v>46251</v>
      </c>
      <c r="D500" s="19">
        <v>875323690931</v>
      </c>
      <c r="E500" s="37">
        <v>42987</v>
      </c>
      <c r="F500" t="s">
        <v>43</v>
      </c>
      <c r="G500">
        <v>8</v>
      </c>
      <c r="H500">
        <v>64</v>
      </c>
      <c r="I500">
        <v>27</v>
      </c>
      <c r="J500">
        <v>27</v>
      </c>
      <c r="K500">
        <v>8</v>
      </c>
      <c r="L500" t="s">
        <v>19</v>
      </c>
      <c r="M500">
        <v>3069.3</v>
      </c>
      <c r="N500">
        <v>528</v>
      </c>
      <c r="O500" s="8">
        <v>180</v>
      </c>
      <c r="P500" s="8">
        <v>1636.8</v>
      </c>
      <c r="Q500" s="5"/>
      <c r="R500" s="26">
        <f t="shared" si="21"/>
        <v>5414.1</v>
      </c>
      <c r="S500" s="27">
        <f t="shared" si="22"/>
        <v>6388.6379999999999</v>
      </c>
    </row>
    <row r="501" spans="1:19" x14ac:dyDescent="0.3">
      <c r="A501">
        <v>200010076</v>
      </c>
      <c r="B501" s="18">
        <v>273723367</v>
      </c>
      <c r="C501" s="22">
        <v>46251</v>
      </c>
      <c r="D501" s="19">
        <v>875323695874</v>
      </c>
      <c r="E501" s="37">
        <v>4117769970</v>
      </c>
      <c r="F501" t="s">
        <v>43</v>
      </c>
      <c r="G501">
        <v>2</v>
      </c>
      <c r="H501">
        <v>41</v>
      </c>
      <c r="I501">
        <v>17</v>
      </c>
      <c r="J501">
        <v>16</v>
      </c>
      <c r="K501">
        <v>2</v>
      </c>
      <c r="L501" t="s">
        <v>19</v>
      </c>
      <c r="M501">
        <v>1512.5</v>
      </c>
      <c r="N501">
        <v>132</v>
      </c>
      <c r="O501" s="8">
        <v>180</v>
      </c>
      <c r="P501">
        <v>748.3</v>
      </c>
      <c r="Q501" s="5"/>
      <c r="R501" s="26">
        <f t="shared" si="21"/>
        <v>2572.8000000000002</v>
      </c>
      <c r="S501" s="27">
        <f t="shared" si="22"/>
        <v>3035.904</v>
      </c>
    </row>
    <row r="502" spans="1:19" x14ac:dyDescent="0.3">
      <c r="A502">
        <v>200010076</v>
      </c>
      <c r="B502" s="18">
        <v>273723367</v>
      </c>
      <c r="C502" s="22">
        <v>46251</v>
      </c>
      <c r="D502" s="19">
        <v>875323701830</v>
      </c>
      <c r="E502" s="37">
        <v>43063</v>
      </c>
      <c r="F502" t="s">
        <v>43</v>
      </c>
      <c r="G502">
        <v>6.5</v>
      </c>
      <c r="H502">
        <v>51</v>
      </c>
      <c r="I502">
        <v>27</v>
      </c>
      <c r="J502">
        <v>26</v>
      </c>
      <c r="K502">
        <v>6.5</v>
      </c>
      <c r="L502" t="s">
        <v>19</v>
      </c>
      <c r="M502">
        <v>2724.1</v>
      </c>
      <c r="N502">
        <v>429</v>
      </c>
      <c r="O502" s="8">
        <v>0</v>
      </c>
      <c r="P502" s="8">
        <v>1434.7</v>
      </c>
      <c r="Q502" s="5"/>
      <c r="R502" s="26">
        <f t="shared" si="21"/>
        <v>4587.8</v>
      </c>
      <c r="S502" s="27">
        <f t="shared" si="22"/>
        <v>5413.6040000000003</v>
      </c>
    </row>
    <row r="503" spans="1:19" x14ac:dyDescent="0.3">
      <c r="A503">
        <v>200010076</v>
      </c>
      <c r="B503" s="18">
        <v>273723367</v>
      </c>
      <c r="C503" s="22">
        <v>46251</v>
      </c>
      <c r="D503" s="19">
        <v>875323706235</v>
      </c>
      <c r="E503" s="37">
        <v>43064</v>
      </c>
      <c r="F503" t="s">
        <v>43</v>
      </c>
      <c r="G503">
        <v>7.5</v>
      </c>
      <c r="H503">
        <v>53</v>
      </c>
      <c r="I503">
        <v>28</v>
      </c>
      <c r="J503">
        <v>28</v>
      </c>
      <c r="K503">
        <v>7.5</v>
      </c>
      <c r="L503" t="s">
        <v>19</v>
      </c>
      <c r="M503">
        <v>2954.2</v>
      </c>
      <c r="N503">
        <v>495</v>
      </c>
      <c r="O503" s="8">
        <v>180</v>
      </c>
      <c r="P503" s="8">
        <v>1569.4</v>
      </c>
      <c r="Q503" s="5"/>
      <c r="R503" s="26">
        <f t="shared" ref="R503:R566" si="23">SUM(M503:P503)</f>
        <v>5198.6000000000004</v>
      </c>
      <c r="S503" s="27">
        <f t="shared" ref="S503:S566" si="24">+R503*1.18</f>
        <v>6134.348</v>
      </c>
    </row>
    <row r="504" spans="1:19" x14ac:dyDescent="0.3">
      <c r="A504">
        <v>200010076</v>
      </c>
      <c r="B504" s="18">
        <v>273723367</v>
      </c>
      <c r="C504" s="22">
        <v>46251</v>
      </c>
      <c r="D504" s="19">
        <v>875323710591</v>
      </c>
      <c r="E504" s="37">
        <v>43086</v>
      </c>
      <c r="F504" t="s">
        <v>43</v>
      </c>
      <c r="G504">
        <v>17</v>
      </c>
      <c r="H504">
        <v>87</v>
      </c>
      <c r="I504">
        <v>34</v>
      </c>
      <c r="J504">
        <v>34</v>
      </c>
      <c r="K504">
        <v>17</v>
      </c>
      <c r="L504" t="s">
        <v>19</v>
      </c>
      <c r="M504">
        <v>6794</v>
      </c>
      <c r="N504">
        <v>1122</v>
      </c>
      <c r="O504" s="8">
        <v>180</v>
      </c>
      <c r="P504" s="8">
        <v>3601.8</v>
      </c>
      <c r="Q504" s="5"/>
      <c r="R504" s="26">
        <f t="shared" si="23"/>
        <v>11697.8</v>
      </c>
      <c r="S504" s="27">
        <f t="shared" si="24"/>
        <v>13803.403999999999</v>
      </c>
    </row>
    <row r="505" spans="1:19" x14ac:dyDescent="0.3">
      <c r="A505">
        <v>200010076</v>
      </c>
      <c r="B505" s="18">
        <v>273723367</v>
      </c>
      <c r="C505" s="22">
        <v>46251</v>
      </c>
      <c r="D505" s="19">
        <v>875323714910</v>
      </c>
      <c r="E505" s="37">
        <v>43097</v>
      </c>
      <c r="F505" t="s">
        <v>43</v>
      </c>
      <c r="G505">
        <v>12</v>
      </c>
      <c r="H505">
        <v>77</v>
      </c>
      <c r="I505">
        <v>31</v>
      </c>
      <c r="J505">
        <v>29</v>
      </c>
      <c r="K505">
        <v>12</v>
      </c>
      <c r="L505" t="s">
        <v>19</v>
      </c>
      <c r="M505">
        <v>5087.1000000000004</v>
      </c>
      <c r="N505">
        <v>792</v>
      </c>
      <c r="O505" s="8">
        <v>180</v>
      </c>
      <c r="P505" s="8">
        <v>2675</v>
      </c>
      <c r="Q505" s="5"/>
      <c r="R505" s="26">
        <f t="shared" si="23"/>
        <v>8734.1</v>
      </c>
      <c r="S505" s="27">
        <f t="shared" si="24"/>
        <v>10306.237999999999</v>
      </c>
    </row>
    <row r="506" spans="1:19" x14ac:dyDescent="0.3">
      <c r="A506">
        <v>200010076</v>
      </c>
      <c r="B506" s="18">
        <v>273723367</v>
      </c>
      <c r="C506" s="22">
        <v>46251</v>
      </c>
      <c r="D506" s="19">
        <v>875323724598</v>
      </c>
      <c r="E506" s="37">
        <v>43103</v>
      </c>
      <c r="F506" t="s">
        <v>43</v>
      </c>
      <c r="G506">
        <v>0.5</v>
      </c>
      <c r="H506">
        <v>45</v>
      </c>
      <c r="I506">
        <v>26</v>
      </c>
      <c r="J506">
        <v>24</v>
      </c>
      <c r="K506">
        <v>4.7</v>
      </c>
      <c r="L506" t="s">
        <v>19</v>
      </c>
      <c r="M506">
        <v>2231.6999999999998</v>
      </c>
      <c r="N506">
        <v>330</v>
      </c>
      <c r="O506" s="8">
        <v>180</v>
      </c>
      <c r="P506">
        <v>1165.5999999999999</v>
      </c>
      <c r="Q506" s="5"/>
      <c r="R506" s="26">
        <f t="shared" si="23"/>
        <v>3907.2999999999997</v>
      </c>
      <c r="S506" s="27">
        <f t="shared" si="24"/>
        <v>4610.6139999999996</v>
      </c>
    </row>
    <row r="507" spans="1:19" x14ac:dyDescent="0.3">
      <c r="A507">
        <v>200010076</v>
      </c>
      <c r="B507" s="18">
        <v>273723367</v>
      </c>
      <c r="C507" s="22">
        <v>46251</v>
      </c>
      <c r="D507" s="19">
        <v>875323727781</v>
      </c>
      <c r="E507" s="37">
        <v>43108</v>
      </c>
      <c r="F507" t="s">
        <v>43</v>
      </c>
      <c r="G507">
        <v>5.5</v>
      </c>
      <c r="H507">
        <v>58</v>
      </c>
      <c r="I507">
        <v>24</v>
      </c>
      <c r="J507">
        <v>23</v>
      </c>
      <c r="K507">
        <v>5.5</v>
      </c>
      <c r="L507" t="s">
        <v>19</v>
      </c>
      <c r="M507">
        <v>2494</v>
      </c>
      <c r="N507">
        <v>363</v>
      </c>
      <c r="O507" s="8">
        <v>180</v>
      </c>
      <c r="P507">
        <v>1299.9000000000001</v>
      </c>
      <c r="Q507" s="5"/>
      <c r="R507" s="26">
        <f t="shared" si="23"/>
        <v>4336.8999999999996</v>
      </c>
      <c r="S507" s="27">
        <f t="shared" si="24"/>
        <v>5117.5419999999995</v>
      </c>
    </row>
    <row r="508" spans="1:19" x14ac:dyDescent="0.3">
      <c r="A508">
        <v>200010076</v>
      </c>
      <c r="B508" s="18">
        <v>273723367</v>
      </c>
      <c r="C508" s="22">
        <v>46251</v>
      </c>
      <c r="D508" s="19">
        <v>875323733982</v>
      </c>
      <c r="E508" s="37">
        <v>43114</v>
      </c>
      <c r="F508" t="s">
        <v>43</v>
      </c>
      <c r="G508">
        <v>4</v>
      </c>
      <c r="H508">
        <v>51</v>
      </c>
      <c r="I508">
        <v>21</v>
      </c>
      <c r="J508">
        <v>20</v>
      </c>
      <c r="K508">
        <v>4</v>
      </c>
      <c r="L508" t="s">
        <v>19</v>
      </c>
      <c r="M508">
        <v>1966.1</v>
      </c>
      <c r="N508">
        <v>264</v>
      </c>
      <c r="O508" s="8">
        <v>180</v>
      </c>
      <c r="P508" s="8">
        <v>1014.7</v>
      </c>
      <c r="Q508" s="5"/>
      <c r="R508" s="26">
        <f t="shared" si="23"/>
        <v>3424.8</v>
      </c>
      <c r="S508" s="27">
        <f t="shared" si="24"/>
        <v>4041.2640000000001</v>
      </c>
    </row>
    <row r="509" spans="1:19" x14ac:dyDescent="0.3">
      <c r="A509">
        <v>200010076</v>
      </c>
      <c r="B509" s="18">
        <v>273723367</v>
      </c>
      <c r="C509" s="22">
        <v>46251</v>
      </c>
      <c r="D509" s="19">
        <v>875323745232</v>
      </c>
      <c r="E509" s="37">
        <v>43133</v>
      </c>
      <c r="F509" t="s">
        <v>43</v>
      </c>
      <c r="G509">
        <v>3.5</v>
      </c>
      <c r="H509">
        <v>69</v>
      </c>
      <c r="I509">
        <v>18</v>
      </c>
      <c r="J509">
        <v>16</v>
      </c>
      <c r="K509">
        <v>3.5</v>
      </c>
      <c r="L509" t="s">
        <v>19</v>
      </c>
      <c r="M509">
        <v>1833.3</v>
      </c>
      <c r="N509">
        <v>231</v>
      </c>
      <c r="O509" s="8">
        <v>180</v>
      </c>
      <c r="P509" s="8">
        <v>939.3</v>
      </c>
      <c r="Q509" s="5"/>
      <c r="R509" s="26">
        <f t="shared" si="23"/>
        <v>3183.6000000000004</v>
      </c>
      <c r="S509" s="27">
        <f t="shared" si="24"/>
        <v>3756.6480000000001</v>
      </c>
    </row>
    <row r="510" spans="1:19" x14ac:dyDescent="0.3">
      <c r="A510">
        <v>200010076</v>
      </c>
      <c r="B510" s="18">
        <v>273723367</v>
      </c>
      <c r="C510" s="22">
        <v>46251</v>
      </c>
      <c r="D510" s="19">
        <v>875323756104</v>
      </c>
      <c r="E510" s="37">
        <v>43169</v>
      </c>
      <c r="F510" t="s">
        <v>43</v>
      </c>
      <c r="G510">
        <v>3.13</v>
      </c>
      <c r="H510">
        <v>38</v>
      </c>
      <c r="I510">
        <v>21</v>
      </c>
      <c r="J510">
        <v>16</v>
      </c>
      <c r="K510">
        <v>3.1</v>
      </c>
      <c r="L510" t="s">
        <v>19</v>
      </c>
      <c r="M510">
        <v>1833.3</v>
      </c>
      <c r="N510">
        <v>231</v>
      </c>
      <c r="O510" s="8">
        <v>180</v>
      </c>
      <c r="P510">
        <v>939.3</v>
      </c>
      <c r="Q510" s="5"/>
      <c r="R510" s="26">
        <f t="shared" si="23"/>
        <v>3183.6000000000004</v>
      </c>
      <c r="S510" s="27">
        <f t="shared" si="24"/>
        <v>3756.6480000000001</v>
      </c>
    </row>
    <row r="511" spans="1:19" x14ac:dyDescent="0.3">
      <c r="A511">
        <v>200010076</v>
      </c>
      <c r="B511" s="18">
        <v>273723367</v>
      </c>
      <c r="C511" s="22">
        <v>46251</v>
      </c>
      <c r="D511" s="19">
        <v>875323764606</v>
      </c>
      <c r="E511" s="37">
        <v>43173</v>
      </c>
      <c r="F511" t="s">
        <v>43</v>
      </c>
      <c r="G511">
        <v>0.5</v>
      </c>
      <c r="H511">
        <v>47</v>
      </c>
      <c r="I511">
        <v>25</v>
      </c>
      <c r="J511">
        <v>24</v>
      </c>
      <c r="K511">
        <v>4.7</v>
      </c>
      <c r="L511" t="s">
        <v>19</v>
      </c>
      <c r="M511">
        <v>2231.6999999999998</v>
      </c>
      <c r="N511">
        <v>330</v>
      </c>
      <c r="O511" s="8">
        <v>180</v>
      </c>
      <c r="P511">
        <v>1165.5999999999999</v>
      </c>
      <c r="Q511" s="5"/>
      <c r="R511" s="26">
        <f t="shared" si="23"/>
        <v>3907.2999999999997</v>
      </c>
      <c r="S511" s="27">
        <f t="shared" si="24"/>
        <v>4610.6139999999996</v>
      </c>
    </row>
    <row r="512" spans="1:19" x14ac:dyDescent="0.3">
      <c r="A512">
        <v>200010076</v>
      </c>
      <c r="B512" s="18">
        <v>273723367</v>
      </c>
      <c r="C512" s="22">
        <v>46251</v>
      </c>
      <c r="D512" s="19">
        <v>875323772111</v>
      </c>
      <c r="E512" s="37">
        <v>4120510420</v>
      </c>
      <c r="F512" t="s">
        <v>43</v>
      </c>
      <c r="G512">
        <v>11.5</v>
      </c>
      <c r="H512">
        <v>77</v>
      </c>
      <c r="I512">
        <v>30</v>
      </c>
      <c r="J512">
        <v>29</v>
      </c>
      <c r="K512">
        <v>11.5</v>
      </c>
      <c r="L512" t="s">
        <v>19</v>
      </c>
      <c r="M512">
        <v>4916.5</v>
      </c>
      <c r="N512">
        <v>759</v>
      </c>
      <c r="O512" s="8">
        <v>180</v>
      </c>
      <c r="P512" s="8">
        <v>2582.4</v>
      </c>
      <c r="Q512" s="5"/>
      <c r="R512" s="26">
        <f t="shared" si="23"/>
        <v>8437.9</v>
      </c>
      <c r="S512" s="27">
        <f t="shared" si="24"/>
        <v>9956.7219999999998</v>
      </c>
    </row>
    <row r="513" spans="1:19" x14ac:dyDescent="0.3">
      <c r="A513">
        <v>200010076</v>
      </c>
      <c r="B513" s="18">
        <v>273723367</v>
      </c>
      <c r="C513" s="22">
        <v>46251</v>
      </c>
      <c r="D513" s="19">
        <v>875323783829</v>
      </c>
      <c r="E513" s="37">
        <v>43207</v>
      </c>
      <c r="F513" t="s">
        <v>43</v>
      </c>
      <c r="G513">
        <v>6.5</v>
      </c>
      <c r="H513">
        <v>67</v>
      </c>
      <c r="I513">
        <v>24</v>
      </c>
      <c r="J513">
        <v>23</v>
      </c>
      <c r="K513">
        <v>6.5</v>
      </c>
      <c r="L513" t="s">
        <v>19</v>
      </c>
      <c r="M513">
        <v>2724.1</v>
      </c>
      <c r="N513">
        <v>429</v>
      </c>
      <c r="O513">
        <v>180</v>
      </c>
      <c r="P513">
        <v>1434.7</v>
      </c>
      <c r="Q513" s="5"/>
      <c r="R513" s="26">
        <f t="shared" si="23"/>
        <v>4767.8</v>
      </c>
      <c r="S513" s="27">
        <f t="shared" si="24"/>
        <v>5626.0039999999999</v>
      </c>
    </row>
    <row r="514" spans="1:19" x14ac:dyDescent="0.3">
      <c r="A514">
        <v>200010076</v>
      </c>
      <c r="B514" s="18">
        <v>273723367</v>
      </c>
      <c r="C514" s="22">
        <v>46251</v>
      </c>
      <c r="D514" s="19">
        <v>875323791209</v>
      </c>
      <c r="E514" s="37">
        <v>43217</v>
      </c>
      <c r="F514" t="s">
        <v>43</v>
      </c>
      <c r="G514">
        <v>3.5</v>
      </c>
      <c r="H514">
        <v>44</v>
      </c>
      <c r="I514">
        <v>24</v>
      </c>
      <c r="J514">
        <v>19</v>
      </c>
      <c r="K514">
        <v>3.5</v>
      </c>
      <c r="L514" t="s">
        <v>19</v>
      </c>
      <c r="M514">
        <v>1833.3</v>
      </c>
      <c r="N514">
        <v>231</v>
      </c>
      <c r="O514">
        <v>180</v>
      </c>
      <c r="P514" s="8">
        <v>939.3</v>
      </c>
      <c r="Q514" s="5"/>
      <c r="R514" s="26">
        <f t="shared" si="23"/>
        <v>3183.6000000000004</v>
      </c>
      <c r="S514" s="27">
        <f t="shared" si="24"/>
        <v>3756.6480000000001</v>
      </c>
    </row>
    <row r="515" spans="1:19" x14ac:dyDescent="0.3">
      <c r="A515">
        <v>200010076</v>
      </c>
      <c r="B515" s="18">
        <v>273723367</v>
      </c>
      <c r="C515" s="22">
        <v>46251</v>
      </c>
      <c r="D515" s="19">
        <v>875323801935</v>
      </c>
      <c r="E515" s="37">
        <v>43262</v>
      </c>
      <c r="F515" t="s">
        <v>43</v>
      </c>
      <c r="G515">
        <v>5.5</v>
      </c>
      <c r="H515">
        <v>60</v>
      </c>
      <c r="I515">
        <v>24</v>
      </c>
      <c r="J515">
        <v>22</v>
      </c>
      <c r="K515">
        <v>5.5</v>
      </c>
      <c r="L515" t="s">
        <v>19</v>
      </c>
      <c r="M515">
        <v>2494</v>
      </c>
      <c r="N515">
        <v>363</v>
      </c>
      <c r="O515">
        <v>180</v>
      </c>
      <c r="P515">
        <v>1299.9000000000001</v>
      </c>
      <c r="Q515" s="5"/>
      <c r="R515" s="26">
        <f t="shared" si="23"/>
        <v>4336.8999999999996</v>
      </c>
      <c r="S515" s="27">
        <f t="shared" si="24"/>
        <v>5117.5419999999995</v>
      </c>
    </row>
    <row r="516" spans="1:19" x14ac:dyDescent="0.3">
      <c r="A516">
        <v>200010076</v>
      </c>
      <c r="B516" s="18">
        <v>273723367</v>
      </c>
      <c r="C516" s="22">
        <v>46251</v>
      </c>
      <c r="D516" s="19">
        <v>875323807977</v>
      </c>
      <c r="E516" s="37">
        <v>43265</v>
      </c>
      <c r="F516" t="s">
        <v>43</v>
      </c>
      <c r="G516">
        <v>3.5</v>
      </c>
      <c r="H516">
        <v>50</v>
      </c>
      <c r="I516">
        <v>20</v>
      </c>
      <c r="J516">
        <v>18</v>
      </c>
      <c r="K516">
        <v>3.5</v>
      </c>
      <c r="L516" t="s">
        <v>19</v>
      </c>
      <c r="M516">
        <v>1833.3</v>
      </c>
      <c r="N516">
        <v>231</v>
      </c>
      <c r="O516">
        <v>180</v>
      </c>
      <c r="P516">
        <v>939.3</v>
      </c>
      <c r="Q516" s="5"/>
      <c r="R516" s="26">
        <f t="shared" si="23"/>
        <v>3183.6000000000004</v>
      </c>
      <c r="S516" s="27">
        <f t="shared" si="24"/>
        <v>3756.6480000000001</v>
      </c>
    </row>
    <row r="517" spans="1:19" x14ac:dyDescent="0.3">
      <c r="A517">
        <v>200010076</v>
      </c>
      <c r="B517" s="18">
        <v>273723367</v>
      </c>
      <c r="C517" s="22">
        <v>46251</v>
      </c>
      <c r="D517" s="19">
        <v>875323813468</v>
      </c>
      <c r="E517" s="37">
        <v>43270</v>
      </c>
      <c r="F517" t="s">
        <v>43</v>
      </c>
      <c r="G517">
        <v>5.5</v>
      </c>
      <c r="H517">
        <v>63</v>
      </c>
      <c r="I517">
        <v>22</v>
      </c>
      <c r="J517">
        <v>22</v>
      </c>
      <c r="K517">
        <v>5.5</v>
      </c>
      <c r="L517" t="s">
        <v>19</v>
      </c>
      <c r="M517">
        <v>2494</v>
      </c>
      <c r="N517">
        <v>363</v>
      </c>
      <c r="O517">
        <v>180</v>
      </c>
      <c r="P517" s="8">
        <v>1299.9000000000001</v>
      </c>
      <c r="Q517" s="5"/>
      <c r="R517" s="26">
        <f t="shared" si="23"/>
        <v>4336.8999999999996</v>
      </c>
      <c r="S517" s="27">
        <f t="shared" si="24"/>
        <v>5117.5419999999995</v>
      </c>
    </row>
    <row r="518" spans="1:19" x14ac:dyDescent="0.3">
      <c r="A518">
        <v>200010076</v>
      </c>
      <c r="B518" s="18">
        <v>273723367</v>
      </c>
      <c r="C518" s="22">
        <v>46251</v>
      </c>
      <c r="D518" s="19">
        <v>875323817978</v>
      </c>
      <c r="E518" s="37">
        <v>43279</v>
      </c>
      <c r="F518" t="s">
        <v>43</v>
      </c>
      <c r="G518">
        <v>18</v>
      </c>
      <c r="H518">
        <v>94</v>
      </c>
      <c r="I518">
        <v>33</v>
      </c>
      <c r="J518">
        <v>33</v>
      </c>
      <c r="K518">
        <v>18</v>
      </c>
      <c r="L518" t="s">
        <v>19</v>
      </c>
      <c r="M518">
        <v>7135.4</v>
      </c>
      <c r="N518">
        <v>1188</v>
      </c>
      <c r="O518">
        <v>180</v>
      </c>
      <c r="P518" s="8">
        <v>3787.2</v>
      </c>
      <c r="Q518" s="5"/>
      <c r="R518" s="26">
        <f t="shared" si="23"/>
        <v>12290.599999999999</v>
      </c>
      <c r="S518" s="27">
        <f t="shared" si="24"/>
        <v>14502.907999999998</v>
      </c>
    </row>
    <row r="519" spans="1:19" x14ac:dyDescent="0.3">
      <c r="A519">
        <v>200010076</v>
      </c>
      <c r="B519" s="18">
        <v>273723367</v>
      </c>
      <c r="C519" s="22">
        <v>46251</v>
      </c>
      <c r="D519" s="19">
        <v>875323825255</v>
      </c>
      <c r="E519" s="37">
        <v>43295</v>
      </c>
      <c r="F519" t="s">
        <v>43</v>
      </c>
      <c r="G519">
        <v>5.5</v>
      </c>
      <c r="H519">
        <v>51</v>
      </c>
      <c r="I519">
        <v>25</v>
      </c>
      <c r="J519">
        <v>24</v>
      </c>
      <c r="K519">
        <v>5.5</v>
      </c>
      <c r="L519" t="s">
        <v>19</v>
      </c>
      <c r="M519">
        <v>2494</v>
      </c>
      <c r="N519">
        <v>363</v>
      </c>
      <c r="O519">
        <v>180</v>
      </c>
      <c r="P519" s="8">
        <v>1299.9000000000001</v>
      </c>
      <c r="Q519" s="5"/>
      <c r="R519" s="26">
        <f t="shared" si="23"/>
        <v>4336.8999999999996</v>
      </c>
      <c r="S519" s="27">
        <f t="shared" si="24"/>
        <v>5117.5419999999995</v>
      </c>
    </row>
    <row r="520" spans="1:19" x14ac:dyDescent="0.3">
      <c r="A520">
        <v>200010076</v>
      </c>
      <c r="B520" s="18">
        <v>273723367</v>
      </c>
      <c r="C520" s="22">
        <v>46251</v>
      </c>
      <c r="D520" s="19">
        <v>875323828357</v>
      </c>
      <c r="E520" s="37">
        <v>4120793656</v>
      </c>
      <c r="F520" t="s">
        <v>43</v>
      </c>
      <c r="G520">
        <v>3.5</v>
      </c>
      <c r="H520">
        <v>38</v>
      </c>
      <c r="I520">
        <v>24</v>
      </c>
      <c r="J520">
        <v>22</v>
      </c>
      <c r="K520">
        <v>3.5</v>
      </c>
      <c r="L520" t="s">
        <v>19</v>
      </c>
      <c r="M520">
        <v>1833.3</v>
      </c>
      <c r="N520">
        <v>231</v>
      </c>
      <c r="O520">
        <v>180</v>
      </c>
      <c r="P520">
        <v>939.3</v>
      </c>
      <c r="Q520" s="5"/>
      <c r="R520" s="26">
        <f t="shared" si="23"/>
        <v>3183.6000000000004</v>
      </c>
      <c r="S520" s="27">
        <f t="shared" si="24"/>
        <v>3756.6480000000001</v>
      </c>
    </row>
    <row r="521" spans="1:19" x14ac:dyDescent="0.3">
      <c r="A521">
        <v>200010076</v>
      </c>
      <c r="B521" s="18">
        <v>273723367</v>
      </c>
      <c r="C521" s="22">
        <v>46251</v>
      </c>
      <c r="D521" s="19">
        <v>875323834319</v>
      </c>
      <c r="E521" s="37">
        <v>4122483788</v>
      </c>
      <c r="F521" t="s">
        <v>43</v>
      </c>
      <c r="G521">
        <v>4.5</v>
      </c>
      <c r="H521">
        <v>53</v>
      </c>
      <c r="I521">
        <v>23</v>
      </c>
      <c r="J521">
        <v>23</v>
      </c>
      <c r="K521">
        <v>4.7</v>
      </c>
      <c r="L521" t="s">
        <v>19</v>
      </c>
      <c r="M521">
        <v>2231.6999999999998</v>
      </c>
      <c r="N521">
        <v>330</v>
      </c>
      <c r="O521">
        <v>180</v>
      </c>
      <c r="P521">
        <v>1165.5999999999999</v>
      </c>
      <c r="Q521" s="5"/>
      <c r="R521" s="26">
        <f t="shared" si="23"/>
        <v>3907.2999999999997</v>
      </c>
      <c r="S521" s="27">
        <f t="shared" si="24"/>
        <v>4610.6139999999996</v>
      </c>
    </row>
    <row r="522" spans="1:19" x14ac:dyDescent="0.3">
      <c r="A522">
        <v>200010076</v>
      </c>
      <c r="B522" s="18">
        <v>273723367</v>
      </c>
      <c r="C522" s="22">
        <v>46251</v>
      </c>
      <c r="D522" s="19">
        <v>875323837579</v>
      </c>
      <c r="E522" s="37">
        <v>4122176305</v>
      </c>
      <c r="F522" t="s">
        <v>43</v>
      </c>
      <c r="G522">
        <v>9</v>
      </c>
      <c r="H522">
        <v>44</v>
      </c>
      <c r="I522">
        <v>35</v>
      </c>
      <c r="J522">
        <v>33</v>
      </c>
      <c r="K522">
        <v>9</v>
      </c>
      <c r="L522" t="s">
        <v>19</v>
      </c>
      <c r="M522">
        <v>3299.4</v>
      </c>
      <c r="N522">
        <v>594</v>
      </c>
      <c r="O522">
        <v>180</v>
      </c>
      <c r="P522">
        <v>1771.5</v>
      </c>
      <c r="Q522" s="5"/>
      <c r="R522" s="26">
        <f t="shared" si="23"/>
        <v>5844.9</v>
      </c>
      <c r="S522" s="27">
        <f t="shared" si="24"/>
        <v>6896.9819999999991</v>
      </c>
    </row>
    <row r="523" spans="1:19" x14ac:dyDescent="0.3">
      <c r="A523">
        <v>200010076</v>
      </c>
      <c r="B523" s="18">
        <v>273723367</v>
      </c>
      <c r="C523" s="22">
        <v>46251</v>
      </c>
      <c r="D523" s="19">
        <v>875323843622</v>
      </c>
      <c r="E523" s="37">
        <v>43320</v>
      </c>
      <c r="F523" t="s">
        <v>43</v>
      </c>
      <c r="G523">
        <v>6</v>
      </c>
      <c r="H523">
        <v>31</v>
      </c>
      <c r="I523">
        <v>29</v>
      </c>
      <c r="J523">
        <v>24</v>
      </c>
      <c r="K523">
        <v>6</v>
      </c>
      <c r="L523" t="s">
        <v>19</v>
      </c>
      <c r="M523">
        <v>2609.1</v>
      </c>
      <c r="N523">
        <v>396</v>
      </c>
      <c r="O523">
        <v>315</v>
      </c>
      <c r="P523" s="8">
        <v>1367.3</v>
      </c>
      <c r="Q523" s="5"/>
      <c r="R523" s="26">
        <f t="shared" si="23"/>
        <v>4687.3999999999996</v>
      </c>
      <c r="S523" s="27">
        <f t="shared" si="24"/>
        <v>5531.1319999999996</v>
      </c>
    </row>
    <row r="524" spans="1:19" x14ac:dyDescent="0.3">
      <c r="A524">
        <v>200010076</v>
      </c>
      <c r="B524" s="18">
        <v>273723367</v>
      </c>
      <c r="C524" s="22">
        <v>46251</v>
      </c>
      <c r="D524" s="19">
        <v>875323849951</v>
      </c>
      <c r="E524" s="37">
        <v>43334</v>
      </c>
      <c r="F524" t="s">
        <v>43</v>
      </c>
      <c r="G524">
        <v>5</v>
      </c>
      <c r="H524">
        <v>56</v>
      </c>
      <c r="I524">
        <v>23</v>
      </c>
      <c r="J524">
        <v>21</v>
      </c>
      <c r="K524">
        <v>5</v>
      </c>
      <c r="L524" t="s">
        <v>19</v>
      </c>
      <c r="M524">
        <v>2231.6999999999998</v>
      </c>
      <c r="N524">
        <v>330</v>
      </c>
      <c r="O524">
        <v>180</v>
      </c>
      <c r="P524">
        <v>1165.5999999999999</v>
      </c>
      <c r="Q524" s="5"/>
      <c r="R524" s="26">
        <f t="shared" si="23"/>
        <v>3907.2999999999997</v>
      </c>
      <c r="S524" s="27">
        <f t="shared" si="24"/>
        <v>4610.6139999999996</v>
      </c>
    </row>
    <row r="525" spans="1:19" x14ac:dyDescent="0.3">
      <c r="A525">
        <v>200010076</v>
      </c>
      <c r="B525" s="18">
        <v>273723367</v>
      </c>
      <c r="C525" s="22">
        <v>46251</v>
      </c>
      <c r="D525" s="19">
        <v>875323857272</v>
      </c>
      <c r="E525" s="37">
        <v>43337</v>
      </c>
      <c r="F525" t="s">
        <v>43</v>
      </c>
      <c r="G525">
        <v>9</v>
      </c>
      <c r="H525">
        <v>72</v>
      </c>
      <c r="I525">
        <v>27</v>
      </c>
      <c r="J525">
        <v>27</v>
      </c>
      <c r="K525">
        <v>9</v>
      </c>
      <c r="L525" t="s">
        <v>19</v>
      </c>
      <c r="M525">
        <v>3299.4</v>
      </c>
      <c r="N525">
        <v>594</v>
      </c>
      <c r="O525">
        <v>180</v>
      </c>
      <c r="P525">
        <v>1771.5</v>
      </c>
      <c r="Q525" s="5"/>
      <c r="R525" s="26">
        <f t="shared" si="23"/>
        <v>5844.9</v>
      </c>
      <c r="S525" s="27">
        <f t="shared" si="24"/>
        <v>6896.9819999999991</v>
      </c>
    </row>
    <row r="526" spans="1:19" x14ac:dyDescent="0.3">
      <c r="A526">
        <v>200010076</v>
      </c>
      <c r="B526" s="18">
        <v>273723367</v>
      </c>
      <c r="C526" s="22">
        <v>46251</v>
      </c>
      <c r="D526" s="19">
        <v>875323864469</v>
      </c>
      <c r="E526" s="37">
        <v>43353</v>
      </c>
      <c r="F526" t="s">
        <v>43</v>
      </c>
      <c r="G526">
        <v>8.5</v>
      </c>
      <c r="H526">
        <v>49</v>
      </c>
      <c r="I526">
        <v>32</v>
      </c>
      <c r="J526">
        <v>30</v>
      </c>
      <c r="K526">
        <v>8.5</v>
      </c>
      <c r="L526" t="s">
        <v>19</v>
      </c>
      <c r="M526">
        <v>3184.4</v>
      </c>
      <c r="N526">
        <v>561</v>
      </c>
      <c r="O526">
        <v>180</v>
      </c>
      <c r="P526">
        <v>1704.2</v>
      </c>
      <c r="Q526" s="5"/>
      <c r="R526" s="26">
        <f t="shared" si="23"/>
        <v>5629.6</v>
      </c>
      <c r="S526" s="27">
        <f t="shared" si="24"/>
        <v>6642.9279999999999</v>
      </c>
    </row>
    <row r="527" spans="1:19" x14ac:dyDescent="0.3">
      <c r="A527">
        <v>200010076</v>
      </c>
      <c r="B527" s="18">
        <v>273723367</v>
      </c>
      <c r="C527" s="22">
        <v>46251</v>
      </c>
      <c r="D527" s="19">
        <v>875323871997</v>
      </c>
      <c r="E527" s="37">
        <v>4123929471</v>
      </c>
      <c r="F527" t="s">
        <v>43</v>
      </c>
      <c r="G527">
        <v>2</v>
      </c>
      <c r="H527">
        <v>42</v>
      </c>
      <c r="I527">
        <v>15</v>
      </c>
      <c r="J527">
        <v>14</v>
      </c>
      <c r="K527">
        <v>2</v>
      </c>
      <c r="L527" t="s">
        <v>19</v>
      </c>
      <c r="M527">
        <v>1512.5</v>
      </c>
      <c r="N527">
        <v>132</v>
      </c>
      <c r="O527">
        <v>0</v>
      </c>
      <c r="P527">
        <v>748.3</v>
      </c>
      <c r="Q527" s="5"/>
      <c r="R527" s="26">
        <f t="shared" si="23"/>
        <v>2392.8000000000002</v>
      </c>
      <c r="S527" s="27">
        <f t="shared" si="24"/>
        <v>2823.5039999999999</v>
      </c>
    </row>
    <row r="528" spans="1:19" x14ac:dyDescent="0.3">
      <c r="A528">
        <v>200010076</v>
      </c>
      <c r="B528" s="18">
        <v>273723367</v>
      </c>
      <c r="C528" s="22">
        <v>46251</v>
      </c>
      <c r="D528" s="19">
        <v>875323879461</v>
      </c>
      <c r="E528" s="37">
        <v>43362</v>
      </c>
      <c r="F528" t="s">
        <v>43</v>
      </c>
      <c r="G528">
        <v>6.5</v>
      </c>
      <c r="H528">
        <v>61</v>
      </c>
      <c r="I528">
        <v>24</v>
      </c>
      <c r="J528">
        <v>24</v>
      </c>
      <c r="K528">
        <v>6.5</v>
      </c>
      <c r="L528" t="s">
        <v>19</v>
      </c>
      <c r="M528">
        <v>2724.1</v>
      </c>
      <c r="N528">
        <v>429</v>
      </c>
      <c r="O528">
        <v>180</v>
      </c>
      <c r="P528">
        <v>1434.7</v>
      </c>
      <c r="Q528" s="5"/>
      <c r="R528" s="26">
        <f t="shared" si="23"/>
        <v>4767.8</v>
      </c>
      <c r="S528" s="27">
        <f t="shared" si="24"/>
        <v>5626.0039999999999</v>
      </c>
    </row>
    <row r="529" spans="1:19" x14ac:dyDescent="0.3">
      <c r="A529">
        <v>200010076</v>
      </c>
      <c r="B529" s="18">
        <v>273723367</v>
      </c>
      <c r="C529" s="22">
        <v>46251</v>
      </c>
      <c r="D529" s="19">
        <v>875323887600</v>
      </c>
      <c r="E529" s="37">
        <v>43375</v>
      </c>
      <c r="F529" t="s">
        <v>43</v>
      </c>
      <c r="G529">
        <v>6.5</v>
      </c>
      <c r="H529">
        <v>59</v>
      </c>
      <c r="I529">
        <v>25</v>
      </c>
      <c r="J529">
        <v>25</v>
      </c>
      <c r="K529">
        <v>6.5</v>
      </c>
      <c r="L529" t="s">
        <v>19</v>
      </c>
      <c r="M529">
        <v>2724.1</v>
      </c>
      <c r="N529">
        <v>429</v>
      </c>
      <c r="O529">
        <v>180</v>
      </c>
      <c r="P529">
        <v>1434.7</v>
      </c>
      <c r="Q529" s="5"/>
      <c r="R529" s="26">
        <f t="shared" si="23"/>
        <v>4767.8</v>
      </c>
      <c r="S529" s="27">
        <f t="shared" si="24"/>
        <v>5626.0039999999999</v>
      </c>
    </row>
    <row r="530" spans="1:19" x14ac:dyDescent="0.3">
      <c r="A530">
        <v>200010076</v>
      </c>
      <c r="B530" s="18">
        <v>273723367</v>
      </c>
      <c r="C530" s="22">
        <v>46251</v>
      </c>
      <c r="D530" s="19">
        <v>875323893844</v>
      </c>
      <c r="E530" s="37">
        <v>43403</v>
      </c>
      <c r="F530" t="s">
        <v>43</v>
      </c>
      <c r="G530">
        <v>5</v>
      </c>
      <c r="H530">
        <v>52</v>
      </c>
      <c r="I530">
        <v>24</v>
      </c>
      <c r="J530">
        <v>23</v>
      </c>
      <c r="K530">
        <v>5</v>
      </c>
      <c r="L530" t="s">
        <v>19</v>
      </c>
      <c r="M530">
        <v>2231.6999999999998</v>
      </c>
      <c r="N530">
        <v>330</v>
      </c>
      <c r="O530">
        <v>180</v>
      </c>
      <c r="P530">
        <v>1165.5999999999999</v>
      </c>
      <c r="Q530" s="5"/>
      <c r="R530" s="26">
        <f t="shared" si="23"/>
        <v>3907.2999999999997</v>
      </c>
      <c r="S530" s="27">
        <f t="shared" si="24"/>
        <v>4610.6139999999996</v>
      </c>
    </row>
    <row r="531" spans="1:19" x14ac:dyDescent="0.3">
      <c r="A531">
        <v>200010076</v>
      </c>
      <c r="B531" s="18">
        <v>273723367</v>
      </c>
      <c r="C531" s="22">
        <v>46251</v>
      </c>
      <c r="D531" s="19">
        <v>875323899496</v>
      </c>
      <c r="E531" s="37">
        <v>43449</v>
      </c>
      <c r="F531" t="s">
        <v>43</v>
      </c>
      <c r="G531">
        <v>9.5</v>
      </c>
      <c r="H531">
        <v>89</v>
      </c>
      <c r="I531">
        <v>26</v>
      </c>
      <c r="J531">
        <v>24</v>
      </c>
      <c r="K531">
        <v>9.5</v>
      </c>
      <c r="L531" t="s">
        <v>19</v>
      </c>
      <c r="M531">
        <v>3414.5</v>
      </c>
      <c r="N531">
        <v>627</v>
      </c>
      <c r="O531">
        <v>180</v>
      </c>
      <c r="P531">
        <v>1838.9</v>
      </c>
      <c r="Q531" s="5"/>
      <c r="R531" s="26">
        <f t="shared" si="23"/>
        <v>6060.4</v>
      </c>
      <c r="S531" s="27">
        <f t="shared" si="24"/>
        <v>7151.271999999999</v>
      </c>
    </row>
    <row r="532" spans="1:19" x14ac:dyDescent="0.3">
      <c r="A532">
        <v>200010076</v>
      </c>
      <c r="B532" s="18">
        <v>273723367</v>
      </c>
      <c r="C532" s="22">
        <v>46251</v>
      </c>
      <c r="D532" s="19">
        <v>875323902772</v>
      </c>
      <c r="E532" s="37">
        <v>43450</v>
      </c>
      <c r="F532" t="s">
        <v>43</v>
      </c>
      <c r="G532">
        <v>6.53</v>
      </c>
      <c r="H532">
        <v>65</v>
      </c>
      <c r="I532">
        <v>29</v>
      </c>
      <c r="J532">
        <v>29</v>
      </c>
      <c r="K532">
        <v>9.1</v>
      </c>
      <c r="L532" t="s">
        <v>19</v>
      </c>
      <c r="M532">
        <v>3414.5</v>
      </c>
      <c r="N532">
        <v>627</v>
      </c>
      <c r="O532">
        <v>180</v>
      </c>
      <c r="P532">
        <v>1838.9</v>
      </c>
      <c r="Q532" s="5"/>
      <c r="R532" s="26">
        <f t="shared" si="23"/>
        <v>6060.4</v>
      </c>
      <c r="S532" s="27">
        <f t="shared" si="24"/>
        <v>7151.271999999999</v>
      </c>
    </row>
    <row r="533" spans="1:19" x14ac:dyDescent="0.3">
      <c r="A533">
        <v>200010076</v>
      </c>
      <c r="B533" s="18">
        <v>273723367</v>
      </c>
      <c r="C533" s="22">
        <v>46251</v>
      </c>
      <c r="D533" s="19">
        <v>875323912637</v>
      </c>
      <c r="E533" s="37">
        <v>4125962663</v>
      </c>
      <c r="F533" t="s">
        <v>43</v>
      </c>
      <c r="G533">
        <v>2</v>
      </c>
      <c r="H533">
        <v>45</v>
      </c>
      <c r="I533">
        <v>15</v>
      </c>
      <c r="J533">
        <v>13</v>
      </c>
      <c r="K533">
        <v>2</v>
      </c>
      <c r="L533" t="s">
        <v>19</v>
      </c>
      <c r="M533">
        <v>1512.5</v>
      </c>
      <c r="N533">
        <v>132</v>
      </c>
      <c r="O533">
        <v>180</v>
      </c>
      <c r="P533">
        <v>748.3</v>
      </c>
      <c r="Q533" s="5"/>
      <c r="R533" s="26">
        <f t="shared" si="23"/>
        <v>2572.8000000000002</v>
      </c>
      <c r="S533" s="27">
        <f t="shared" si="24"/>
        <v>3035.904</v>
      </c>
    </row>
    <row r="534" spans="1:19" x14ac:dyDescent="0.3">
      <c r="A534">
        <v>200010076</v>
      </c>
      <c r="B534" s="18">
        <v>273723367</v>
      </c>
      <c r="C534" s="22">
        <v>46251</v>
      </c>
      <c r="D534" s="19">
        <v>875323916426</v>
      </c>
      <c r="E534" s="37">
        <v>43468</v>
      </c>
      <c r="F534" t="s">
        <v>43</v>
      </c>
      <c r="G534">
        <v>6</v>
      </c>
      <c r="H534">
        <v>52</v>
      </c>
      <c r="I534">
        <v>26</v>
      </c>
      <c r="J534">
        <v>25</v>
      </c>
      <c r="K534">
        <v>6</v>
      </c>
      <c r="L534" t="s">
        <v>19</v>
      </c>
      <c r="M534">
        <v>2609.1</v>
      </c>
      <c r="N534">
        <v>396</v>
      </c>
      <c r="O534">
        <v>180</v>
      </c>
      <c r="P534">
        <v>1367.3</v>
      </c>
      <c r="Q534" s="5"/>
      <c r="R534" s="26">
        <f t="shared" si="23"/>
        <v>4552.3999999999996</v>
      </c>
      <c r="S534" s="27">
        <f t="shared" si="24"/>
        <v>5371.8319999999994</v>
      </c>
    </row>
    <row r="535" spans="1:19" x14ac:dyDescent="0.3">
      <c r="A535">
        <v>200010076</v>
      </c>
      <c r="B535" s="18">
        <v>273723367</v>
      </c>
      <c r="C535" s="22">
        <v>46251</v>
      </c>
      <c r="D535" s="19">
        <v>875323921274</v>
      </c>
      <c r="E535" s="37">
        <v>43486</v>
      </c>
      <c r="F535" t="s">
        <v>43</v>
      </c>
      <c r="G535">
        <v>4.5</v>
      </c>
      <c r="H535">
        <v>43</v>
      </c>
      <c r="I535">
        <v>25</v>
      </c>
      <c r="J535">
        <v>24</v>
      </c>
      <c r="K535">
        <v>4.5</v>
      </c>
      <c r="L535" t="s">
        <v>19</v>
      </c>
      <c r="M535">
        <v>2098.9</v>
      </c>
      <c r="N535">
        <v>297</v>
      </c>
      <c r="O535">
        <v>180</v>
      </c>
      <c r="P535">
        <v>1090.0999999999999</v>
      </c>
      <c r="Q535" s="5"/>
      <c r="R535" s="26">
        <f t="shared" si="23"/>
        <v>3666</v>
      </c>
      <c r="S535" s="27">
        <f t="shared" si="24"/>
        <v>4325.88</v>
      </c>
    </row>
    <row r="536" spans="1:19" x14ac:dyDescent="0.3">
      <c r="A536">
        <v>200010076</v>
      </c>
      <c r="B536" s="18">
        <v>273723367</v>
      </c>
      <c r="C536" s="22">
        <v>46251</v>
      </c>
      <c r="D536" s="19">
        <v>875323927169</v>
      </c>
      <c r="E536" s="37">
        <v>43506</v>
      </c>
      <c r="F536" t="s">
        <v>43</v>
      </c>
      <c r="G536">
        <v>17.5</v>
      </c>
      <c r="H536">
        <v>77</v>
      </c>
      <c r="I536">
        <v>36</v>
      </c>
      <c r="J536">
        <v>36</v>
      </c>
      <c r="K536">
        <v>17.5</v>
      </c>
      <c r="L536" t="s">
        <v>19</v>
      </c>
      <c r="M536">
        <v>6964.7</v>
      </c>
      <c r="N536">
        <v>1155</v>
      </c>
      <c r="O536">
        <v>180</v>
      </c>
      <c r="P536">
        <v>3694.5</v>
      </c>
      <c r="Q536" s="5"/>
      <c r="R536" s="26">
        <f t="shared" si="23"/>
        <v>11994.2</v>
      </c>
      <c r="S536" s="27">
        <f t="shared" si="24"/>
        <v>14153.156000000001</v>
      </c>
    </row>
    <row r="537" spans="1:19" x14ac:dyDescent="0.3">
      <c r="A537">
        <v>200010076</v>
      </c>
      <c r="B537" s="18">
        <v>273723367</v>
      </c>
      <c r="C537" s="22">
        <v>46251</v>
      </c>
      <c r="D537" s="19">
        <v>875323937480</v>
      </c>
      <c r="E537" s="37">
        <v>43530</v>
      </c>
      <c r="F537" t="s">
        <v>43</v>
      </c>
      <c r="G537">
        <v>24.5</v>
      </c>
      <c r="H537">
        <v>87</v>
      </c>
      <c r="I537">
        <v>42</v>
      </c>
      <c r="J537">
        <v>39</v>
      </c>
      <c r="K537">
        <v>24.5</v>
      </c>
      <c r="L537" t="s">
        <v>19</v>
      </c>
      <c r="M537">
        <v>9711.2000000000007</v>
      </c>
      <c r="N537">
        <v>1617</v>
      </c>
      <c r="O537">
        <v>180</v>
      </c>
      <c r="P537">
        <v>5154.3</v>
      </c>
      <c r="Q537" s="5"/>
      <c r="R537" s="26">
        <f t="shared" si="23"/>
        <v>16662.5</v>
      </c>
      <c r="S537" s="27">
        <f t="shared" si="24"/>
        <v>19661.75</v>
      </c>
    </row>
    <row r="538" spans="1:19" x14ac:dyDescent="0.3">
      <c r="A538">
        <v>200010076</v>
      </c>
      <c r="B538" s="18">
        <v>273723367</v>
      </c>
      <c r="C538" s="22">
        <v>46251</v>
      </c>
      <c r="D538" s="19">
        <v>875323941313</v>
      </c>
      <c r="E538" s="37">
        <v>43622</v>
      </c>
      <c r="F538" t="s">
        <v>43</v>
      </c>
      <c r="G538">
        <v>3.5</v>
      </c>
      <c r="H538">
        <v>52</v>
      </c>
      <c r="I538">
        <v>21</v>
      </c>
      <c r="J538">
        <v>19</v>
      </c>
      <c r="K538">
        <v>3.5</v>
      </c>
      <c r="L538" t="s">
        <v>19</v>
      </c>
      <c r="M538">
        <v>1833.3</v>
      </c>
      <c r="N538">
        <v>231</v>
      </c>
      <c r="O538">
        <v>180</v>
      </c>
      <c r="P538">
        <v>939.3</v>
      </c>
      <c r="Q538" s="5"/>
      <c r="R538" s="26">
        <f t="shared" si="23"/>
        <v>3183.6000000000004</v>
      </c>
      <c r="S538" s="27">
        <f t="shared" si="24"/>
        <v>3756.6480000000001</v>
      </c>
    </row>
    <row r="539" spans="1:19" x14ac:dyDescent="0.3">
      <c r="A539">
        <v>200010076</v>
      </c>
      <c r="B539" s="18">
        <v>273723367</v>
      </c>
      <c r="C539" s="22">
        <v>46251</v>
      </c>
      <c r="D539" s="19">
        <v>875323946392</v>
      </c>
      <c r="E539" s="37">
        <v>43541</v>
      </c>
      <c r="F539" t="s">
        <v>43</v>
      </c>
      <c r="G539">
        <v>3.5</v>
      </c>
      <c r="H539">
        <v>37</v>
      </c>
      <c r="I539">
        <v>19</v>
      </c>
      <c r="J539">
        <v>15</v>
      </c>
      <c r="K539">
        <v>3.5</v>
      </c>
      <c r="L539" t="s">
        <v>19</v>
      </c>
      <c r="M539">
        <v>1833.3</v>
      </c>
      <c r="N539">
        <v>231</v>
      </c>
      <c r="O539">
        <v>180</v>
      </c>
      <c r="P539">
        <v>939.3</v>
      </c>
      <c r="Q539" s="5"/>
      <c r="R539" s="26">
        <f t="shared" si="23"/>
        <v>3183.6000000000004</v>
      </c>
      <c r="S539" s="27">
        <f t="shared" si="24"/>
        <v>3756.6480000000001</v>
      </c>
    </row>
    <row r="540" spans="1:19" x14ac:dyDescent="0.3">
      <c r="A540">
        <v>200010076</v>
      </c>
      <c r="B540" s="18">
        <v>273723367</v>
      </c>
      <c r="C540" s="22">
        <v>46251</v>
      </c>
      <c r="D540" s="19">
        <v>875323951303</v>
      </c>
      <c r="E540" s="37">
        <v>43652</v>
      </c>
      <c r="F540" t="s">
        <v>43</v>
      </c>
      <c r="G540">
        <v>2</v>
      </c>
      <c r="H540">
        <v>31</v>
      </c>
      <c r="I540">
        <v>22</v>
      </c>
      <c r="J540">
        <v>14</v>
      </c>
      <c r="K540">
        <v>2</v>
      </c>
      <c r="L540" t="s">
        <v>19</v>
      </c>
      <c r="M540">
        <v>1512.5</v>
      </c>
      <c r="N540">
        <v>132</v>
      </c>
      <c r="O540" s="8">
        <v>180</v>
      </c>
      <c r="P540" s="8">
        <v>748.3</v>
      </c>
      <c r="Q540" s="5"/>
      <c r="R540" s="26">
        <f t="shared" si="23"/>
        <v>2572.8000000000002</v>
      </c>
      <c r="S540" s="27">
        <f t="shared" si="24"/>
        <v>3035.904</v>
      </c>
    </row>
    <row r="541" spans="1:19" x14ac:dyDescent="0.3">
      <c r="A541">
        <v>200010076</v>
      </c>
      <c r="B541" s="18">
        <v>273723367</v>
      </c>
      <c r="C541" s="22">
        <v>46251</v>
      </c>
      <c r="D541" s="19">
        <v>875323956901</v>
      </c>
      <c r="E541" s="37">
        <v>43658</v>
      </c>
      <c r="F541" t="s">
        <v>43</v>
      </c>
      <c r="G541">
        <v>3.5</v>
      </c>
      <c r="H541">
        <v>49</v>
      </c>
      <c r="I541">
        <v>20</v>
      </c>
      <c r="J541">
        <v>19</v>
      </c>
      <c r="K541">
        <v>3.5</v>
      </c>
      <c r="L541" t="s">
        <v>19</v>
      </c>
      <c r="M541">
        <v>1833.3</v>
      </c>
      <c r="N541">
        <v>231</v>
      </c>
      <c r="O541" s="8">
        <v>180</v>
      </c>
      <c r="P541" s="8">
        <v>939.3</v>
      </c>
      <c r="Q541" s="5"/>
      <c r="R541" s="26">
        <f t="shared" si="23"/>
        <v>3183.6000000000004</v>
      </c>
      <c r="S541" s="27">
        <f t="shared" si="24"/>
        <v>3756.6480000000001</v>
      </c>
    </row>
    <row r="542" spans="1:19" x14ac:dyDescent="0.3">
      <c r="A542">
        <v>200010076</v>
      </c>
      <c r="B542" s="18">
        <v>273723367</v>
      </c>
      <c r="C542" s="22">
        <v>46251</v>
      </c>
      <c r="D542" s="19">
        <v>875323961040</v>
      </c>
      <c r="E542" s="37">
        <v>43695</v>
      </c>
      <c r="F542" t="s">
        <v>43</v>
      </c>
      <c r="G542">
        <v>2</v>
      </c>
      <c r="H542">
        <v>34</v>
      </c>
      <c r="I542">
        <v>26</v>
      </c>
      <c r="J542">
        <v>11</v>
      </c>
      <c r="K542">
        <v>2</v>
      </c>
      <c r="L542" t="s">
        <v>19</v>
      </c>
      <c r="M542">
        <v>1512.5</v>
      </c>
      <c r="N542">
        <v>132</v>
      </c>
      <c r="O542" s="8">
        <v>180</v>
      </c>
      <c r="P542">
        <v>748.3</v>
      </c>
      <c r="Q542" s="5"/>
      <c r="R542" s="26">
        <f t="shared" si="23"/>
        <v>2572.8000000000002</v>
      </c>
      <c r="S542" s="27">
        <f t="shared" si="24"/>
        <v>3035.904</v>
      </c>
    </row>
    <row r="543" spans="1:19" x14ac:dyDescent="0.3">
      <c r="A543">
        <v>200010076</v>
      </c>
      <c r="B543" s="18">
        <v>273723367</v>
      </c>
      <c r="C543" s="22">
        <v>46251</v>
      </c>
      <c r="D543" s="19">
        <v>875323979030</v>
      </c>
      <c r="E543" s="37">
        <v>43742</v>
      </c>
      <c r="F543" t="s">
        <v>43</v>
      </c>
      <c r="G543">
        <v>5</v>
      </c>
      <c r="H543">
        <v>66</v>
      </c>
      <c r="I543">
        <v>23</v>
      </c>
      <c r="J543">
        <v>19</v>
      </c>
      <c r="K543">
        <v>5</v>
      </c>
      <c r="L543" t="s">
        <v>19</v>
      </c>
      <c r="M543">
        <v>2231.6999999999998</v>
      </c>
      <c r="N543">
        <v>330</v>
      </c>
      <c r="O543" s="8">
        <v>180</v>
      </c>
      <c r="P543">
        <v>1165.5999999999999</v>
      </c>
      <c r="Q543" s="5"/>
      <c r="R543" s="26">
        <f t="shared" si="23"/>
        <v>3907.2999999999997</v>
      </c>
      <c r="S543" s="27">
        <f t="shared" si="24"/>
        <v>4610.6139999999996</v>
      </c>
    </row>
    <row r="544" spans="1:19" x14ac:dyDescent="0.3">
      <c r="A544">
        <v>200010076</v>
      </c>
      <c r="B544" s="18">
        <v>273723367</v>
      </c>
      <c r="C544" s="22">
        <v>46251</v>
      </c>
      <c r="D544" s="19">
        <v>875323988208</v>
      </c>
      <c r="E544" s="37">
        <v>43759</v>
      </c>
      <c r="F544" t="s">
        <v>43</v>
      </c>
      <c r="G544">
        <v>4.5</v>
      </c>
      <c r="H544">
        <v>55</v>
      </c>
      <c r="I544">
        <v>23</v>
      </c>
      <c r="J544">
        <v>20</v>
      </c>
      <c r="K544">
        <v>4.5</v>
      </c>
      <c r="L544" t="s">
        <v>19</v>
      </c>
      <c r="M544">
        <v>2098.9</v>
      </c>
      <c r="N544">
        <v>297</v>
      </c>
      <c r="O544" s="8">
        <v>180</v>
      </c>
      <c r="P544" s="8">
        <v>1090.0999999999999</v>
      </c>
      <c r="Q544" s="5"/>
      <c r="R544" s="26">
        <f t="shared" si="23"/>
        <v>3666</v>
      </c>
      <c r="S544" s="27">
        <f t="shared" si="24"/>
        <v>4325.88</v>
      </c>
    </row>
    <row r="545" spans="1:19" x14ac:dyDescent="0.3">
      <c r="A545">
        <v>200010076</v>
      </c>
      <c r="B545" s="18">
        <v>273723367</v>
      </c>
      <c r="C545" s="22">
        <v>46251</v>
      </c>
      <c r="D545" s="19">
        <v>875323657748</v>
      </c>
      <c r="E545" s="37">
        <v>4116142411</v>
      </c>
      <c r="F545" t="s">
        <v>43</v>
      </c>
      <c r="G545">
        <v>0.5</v>
      </c>
      <c r="K545">
        <v>0.5</v>
      </c>
      <c r="L545" t="s">
        <v>19</v>
      </c>
      <c r="M545">
        <v>1031.7</v>
      </c>
      <c r="N545">
        <v>42.5</v>
      </c>
      <c r="O545" s="8">
        <v>0</v>
      </c>
      <c r="P545" s="8">
        <v>488.8</v>
      </c>
      <c r="Q545" s="5"/>
      <c r="R545" s="26">
        <f t="shared" si="23"/>
        <v>1563</v>
      </c>
      <c r="S545" s="27">
        <f t="shared" si="24"/>
        <v>1844.34</v>
      </c>
    </row>
    <row r="546" spans="1:19" x14ac:dyDescent="0.3">
      <c r="A546">
        <v>200010076</v>
      </c>
      <c r="B546" s="18">
        <v>273723367</v>
      </c>
      <c r="C546" s="22">
        <v>46251</v>
      </c>
      <c r="D546" s="19">
        <v>875323966188</v>
      </c>
      <c r="E546" s="37">
        <v>43714</v>
      </c>
      <c r="F546" t="s">
        <v>43</v>
      </c>
      <c r="G546">
        <v>0.5</v>
      </c>
      <c r="K546">
        <v>0.5</v>
      </c>
      <c r="L546" t="s">
        <v>19</v>
      </c>
      <c r="M546">
        <v>1031.7</v>
      </c>
      <c r="N546">
        <v>42.5</v>
      </c>
      <c r="O546" s="8">
        <v>0</v>
      </c>
      <c r="P546">
        <v>488.8</v>
      </c>
      <c r="Q546" s="5"/>
      <c r="R546" s="26">
        <f t="shared" si="23"/>
        <v>1563</v>
      </c>
      <c r="S546" s="27">
        <f t="shared" si="24"/>
        <v>1844.34</v>
      </c>
    </row>
    <row r="547" spans="1:19" x14ac:dyDescent="0.3">
      <c r="A547">
        <v>200010076</v>
      </c>
      <c r="B547" s="18">
        <v>273723367</v>
      </c>
      <c r="C547" s="22">
        <v>46251</v>
      </c>
      <c r="D547" s="19">
        <v>875323998070</v>
      </c>
      <c r="E547" s="37">
        <v>43852</v>
      </c>
      <c r="F547" t="s">
        <v>43</v>
      </c>
      <c r="G547">
        <v>0.5</v>
      </c>
      <c r="K547">
        <v>0.5</v>
      </c>
      <c r="L547" t="s">
        <v>19</v>
      </c>
      <c r="M547">
        <v>1031.7</v>
      </c>
      <c r="N547">
        <v>42.5</v>
      </c>
      <c r="O547" s="8">
        <v>0</v>
      </c>
      <c r="P547" s="8">
        <v>488.8</v>
      </c>
      <c r="Q547" s="5"/>
      <c r="R547" s="26">
        <f t="shared" si="23"/>
        <v>1563</v>
      </c>
      <c r="S547" s="27">
        <f t="shared" si="24"/>
        <v>1844.34</v>
      </c>
    </row>
    <row r="548" spans="1:19" x14ac:dyDescent="0.3">
      <c r="A548">
        <v>200010076</v>
      </c>
      <c r="B548" s="18">
        <v>273723367</v>
      </c>
      <c r="C548" s="22">
        <v>46251</v>
      </c>
      <c r="D548" s="19">
        <v>875324009529</v>
      </c>
      <c r="E548" s="37">
        <v>43895</v>
      </c>
      <c r="F548" t="s">
        <v>43</v>
      </c>
      <c r="G548">
        <v>0.5</v>
      </c>
      <c r="K548">
        <v>0.5</v>
      </c>
      <c r="L548" t="s">
        <v>19</v>
      </c>
      <c r="M548">
        <v>1031.7</v>
      </c>
      <c r="N548">
        <v>42.5</v>
      </c>
      <c r="O548" s="8">
        <v>0</v>
      </c>
      <c r="P548" s="8">
        <v>488.8</v>
      </c>
      <c r="Q548" s="5"/>
      <c r="R548" s="26">
        <f t="shared" si="23"/>
        <v>1563</v>
      </c>
      <c r="S548" s="27">
        <f t="shared" si="24"/>
        <v>1844.34</v>
      </c>
    </row>
    <row r="549" spans="1:19" x14ac:dyDescent="0.3">
      <c r="A549">
        <v>200010076</v>
      </c>
      <c r="B549" s="18">
        <v>273723367</v>
      </c>
      <c r="C549" s="22">
        <v>46251</v>
      </c>
      <c r="D549" s="19">
        <v>875324018876</v>
      </c>
      <c r="E549" s="37">
        <v>43903</v>
      </c>
      <c r="F549" t="s">
        <v>43</v>
      </c>
      <c r="G549">
        <v>0.5</v>
      </c>
      <c r="K549">
        <v>0.5</v>
      </c>
      <c r="L549" t="s">
        <v>19</v>
      </c>
      <c r="M549">
        <v>1031.7</v>
      </c>
      <c r="N549">
        <v>42.5</v>
      </c>
      <c r="O549" s="8">
        <v>0</v>
      </c>
      <c r="P549" s="8">
        <v>488.8</v>
      </c>
      <c r="Q549" s="5"/>
      <c r="R549" s="26">
        <f t="shared" si="23"/>
        <v>1563</v>
      </c>
      <c r="S549" s="27">
        <f t="shared" si="24"/>
        <v>1844.34</v>
      </c>
    </row>
    <row r="550" spans="1:19" x14ac:dyDescent="0.3">
      <c r="A550">
        <v>200010076</v>
      </c>
      <c r="B550" s="18">
        <v>273723367</v>
      </c>
      <c r="C550" s="22">
        <v>46251</v>
      </c>
      <c r="D550" s="19">
        <v>875324024415</v>
      </c>
      <c r="E550" s="37">
        <v>43914</v>
      </c>
      <c r="F550" t="s">
        <v>43</v>
      </c>
      <c r="G550">
        <v>0.5</v>
      </c>
      <c r="K550">
        <v>0.5</v>
      </c>
      <c r="L550" t="s">
        <v>19</v>
      </c>
      <c r="M550">
        <v>1031.7</v>
      </c>
      <c r="N550">
        <v>42.5</v>
      </c>
      <c r="O550" s="8">
        <v>0</v>
      </c>
      <c r="P550" s="8">
        <v>488.8</v>
      </c>
      <c r="Q550" s="5"/>
      <c r="R550" s="26">
        <f t="shared" si="23"/>
        <v>1563</v>
      </c>
      <c r="S550" s="27">
        <f t="shared" si="24"/>
        <v>1844.34</v>
      </c>
    </row>
    <row r="551" spans="1:19" x14ac:dyDescent="0.3">
      <c r="A551">
        <v>200010076</v>
      </c>
      <c r="B551" s="18">
        <v>273723367</v>
      </c>
      <c r="C551" s="22">
        <v>46251</v>
      </c>
      <c r="D551" s="19">
        <v>875324035228</v>
      </c>
      <c r="E551" s="37">
        <v>43941</v>
      </c>
      <c r="F551" t="s">
        <v>43</v>
      </c>
      <c r="G551">
        <v>0.5</v>
      </c>
      <c r="K551">
        <v>0.5</v>
      </c>
      <c r="L551" t="s">
        <v>19</v>
      </c>
      <c r="M551">
        <v>1031.7</v>
      </c>
      <c r="N551">
        <v>42.5</v>
      </c>
      <c r="O551" s="8">
        <v>0</v>
      </c>
      <c r="P551">
        <v>488.8</v>
      </c>
      <c r="Q551" s="5"/>
      <c r="R551" s="26">
        <f t="shared" si="23"/>
        <v>1563</v>
      </c>
      <c r="S551" s="27">
        <f t="shared" si="24"/>
        <v>1844.34</v>
      </c>
    </row>
    <row r="552" spans="1:19" x14ac:dyDescent="0.3">
      <c r="A552">
        <v>200010076</v>
      </c>
      <c r="B552" s="18">
        <v>273723367</v>
      </c>
      <c r="C552" s="22">
        <v>46251</v>
      </c>
      <c r="D552" s="19">
        <v>875324048949</v>
      </c>
      <c r="E552" s="37">
        <v>44005</v>
      </c>
      <c r="F552" t="s">
        <v>43</v>
      </c>
      <c r="G552">
        <v>0.5</v>
      </c>
      <c r="K552">
        <v>0.5</v>
      </c>
      <c r="L552" t="s">
        <v>19</v>
      </c>
      <c r="M552">
        <v>1031.7</v>
      </c>
      <c r="N552">
        <v>42.5</v>
      </c>
      <c r="O552" s="8">
        <v>0</v>
      </c>
      <c r="P552" s="8">
        <v>488.8</v>
      </c>
      <c r="Q552" s="5"/>
      <c r="R552" s="26">
        <f t="shared" si="23"/>
        <v>1563</v>
      </c>
      <c r="S552" s="27">
        <f t="shared" si="24"/>
        <v>1844.34</v>
      </c>
    </row>
    <row r="553" spans="1:19" x14ac:dyDescent="0.3">
      <c r="A553">
        <v>200010076</v>
      </c>
      <c r="B553" s="18">
        <v>273723367</v>
      </c>
      <c r="C553" s="22">
        <v>46251</v>
      </c>
      <c r="D553" s="19">
        <v>875324054304</v>
      </c>
      <c r="E553" s="37">
        <v>44032</v>
      </c>
      <c r="F553" t="s">
        <v>43</v>
      </c>
      <c r="G553">
        <v>0.5</v>
      </c>
      <c r="K553">
        <v>0.5</v>
      </c>
      <c r="L553" t="s">
        <v>19</v>
      </c>
      <c r="M553">
        <v>1031.7</v>
      </c>
      <c r="N553">
        <v>42.5</v>
      </c>
      <c r="O553" s="8">
        <v>0</v>
      </c>
      <c r="P553" s="8">
        <v>488.8</v>
      </c>
      <c r="Q553" s="5"/>
      <c r="R553" s="26">
        <f t="shared" si="23"/>
        <v>1563</v>
      </c>
      <c r="S553" s="27">
        <f t="shared" si="24"/>
        <v>1844.34</v>
      </c>
    </row>
    <row r="554" spans="1:19" x14ac:dyDescent="0.3">
      <c r="A554">
        <v>200010076</v>
      </c>
      <c r="B554" s="18">
        <v>273723367</v>
      </c>
      <c r="C554" s="22">
        <v>46251</v>
      </c>
      <c r="D554" s="19">
        <v>875324062129</v>
      </c>
      <c r="E554" s="37">
        <v>44048</v>
      </c>
      <c r="F554" t="s">
        <v>43</v>
      </c>
      <c r="G554">
        <v>0.5</v>
      </c>
      <c r="K554">
        <v>0.5</v>
      </c>
      <c r="L554" t="s">
        <v>19</v>
      </c>
      <c r="M554">
        <v>1031.7</v>
      </c>
      <c r="N554">
        <v>42.5</v>
      </c>
      <c r="O554" s="8">
        <v>0</v>
      </c>
      <c r="P554" s="8">
        <v>488.8</v>
      </c>
      <c r="Q554" s="5"/>
      <c r="R554" s="26">
        <f t="shared" si="23"/>
        <v>1563</v>
      </c>
      <c r="S554" s="27">
        <f t="shared" si="24"/>
        <v>1844.34</v>
      </c>
    </row>
    <row r="555" spans="1:19" x14ac:dyDescent="0.3">
      <c r="A555">
        <v>200010076</v>
      </c>
      <c r="B555" s="18">
        <v>273723367</v>
      </c>
      <c r="C555" s="22">
        <v>46251</v>
      </c>
      <c r="D555" s="19">
        <v>875324081102</v>
      </c>
      <c r="E555" s="37">
        <v>44071</v>
      </c>
      <c r="F555" t="s">
        <v>43</v>
      </c>
      <c r="G555">
        <v>0.5</v>
      </c>
      <c r="K555">
        <v>0.5</v>
      </c>
      <c r="L555" t="s">
        <v>19</v>
      </c>
      <c r="M555">
        <v>1031.7</v>
      </c>
      <c r="N555">
        <v>42.5</v>
      </c>
      <c r="O555" s="8">
        <v>0</v>
      </c>
      <c r="P555">
        <v>488.8</v>
      </c>
      <c r="Q555" s="5"/>
      <c r="R555" s="26">
        <f t="shared" si="23"/>
        <v>1563</v>
      </c>
      <c r="S555" s="27">
        <f t="shared" si="24"/>
        <v>1844.34</v>
      </c>
    </row>
    <row r="556" spans="1:19" x14ac:dyDescent="0.3">
      <c r="A556">
        <v>200010076</v>
      </c>
      <c r="B556" s="18">
        <v>273723367</v>
      </c>
      <c r="C556" s="22">
        <v>46251</v>
      </c>
      <c r="D556" s="19">
        <v>875324091824</v>
      </c>
      <c r="E556" s="37">
        <v>44094</v>
      </c>
      <c r="F556" t="s">
        <v>43</v>
      </c>
      <c r="G556">
        <v>0.5</v>
      </c>
      <c r="K556">
        <v>0.5</v>
      </c>
      <c r="L556" t="s">
        <v>19</v>
      </c>
      <c r="M556">
        <v>1031.7</v>
      </c>
      <c r="N556">
        <v>42.5</v>
      </c>
      <c r="O556" s="8">
        <v>0</v>
      </c>
      <c r="P556" s="8">
        <v>488.8</v>
      </c>
      <c r="Q556" s="5"/>
      <c r="R556" s="26">
        <f t="shared" si="23"/>
        <v>1563</v>
      </c>
      <c r="S556" s="27">
        <f t="shared" si="24"/>
        <v>1844.34</v>
      </c>
    </row>
    <row r="557" spans="1:19" x14ac:dyDescent="0.3">
      <c r="A557">
        <v>200010076</v>
      </c>
      <c r="B557" s="18">
        <v>273723367</v>
      </c>
      <c r="C557" s="22">
        <v>46251</v>
      </c>
      <c r="D557" s="19">
        <v>875324099836</v>
      </c>
      <c r="E557" s="37">
        <v>44097</v>
      </c>
      <c r="F557" t="s">
        <v>43</v>
      </c>
      <c r="G557">
        <v>0.5</v>
      </c>
      <c r="K557">
        <v>0.5</v>
      </c>
      <c r="L557" t="s">
        <v>19</v>
      </c>
      <c r="M557">
        <v>1031.7</v>
      </c>
      <c r="N557">
        <v>42.5</v>
      </c>
      <c r="O557" s="8">
        <v>0</v>
      </c>
      <c r="P557">
        <v>488.8</v>
      </c>
      <c r="Q557" s="5"/>
      <c r="R557" s="26">
        <f t="shared" si="23"/>
        <v>1563</v>
      </c>
      <c r="S557" s="27">
        <f t="shared" si="24"/>
        <v>1844.34</v>
      </c>
    </row>
    <row r="558" spans="1:19" x14ac:dyDescent="0.3">
      <c r="A558">
        <v>200010076</v>
      </c>
      <c r="B558" s="18">
        <v>273723367</v>
      </c>
      <c r="C558" s="22">
        <v>46251</v>
      </c>
      <c r="D558" s="19">
        <v>875324115240</v>
      </c>
      <c r="E558" s="37">
        <v>44125</v>
      </c>
      <c r="F558" t="s">
        <v>43</v>
      </c>
      <c r="G558">
        <v>0.5</v>
      </c>
      <c r="K558">
        <v>0.5</v>
      </c>
      <c r="L558" t="s">
        <v>19</v>
      </c>
      <c r="M558">
        <v>1031.7</v>
      </c>
      <c r="N558">
        <v>42.5</v>
      </c>
      <c r="O558" s="8">
        <v>0</v>
      </c>
      <c r="P558" s="8">
        <v>488.8</v>
      </c>
      <c r="Q558" s="5"/>
      <c r="R558" s="26">
        <f t="shared" si="23"/>
        <v>1563</v>
      </c>
      <c r="S558" s="27">
        <f t="shared" si="24"/>
        <v>1844.34</v>
      </c>
    </row>
    <row r="559" spans="1:19" x14ac:dyDescent="0.3">
      <c r="A559">
        <v>200010076</v>
      </c>
      <c r="B559" s="18">
        <v>273723367</v>
      </c>
      <c r="C559" s="22">
        <v>46251</v>
      </c>
      <c r="D559" s="19">
        <v>875324119121</v>
      </c>
      <c r="E559" s="37">
        <v>44151</v>
      </c>
      <c r="F559" t="s">
        <v>43</v>
      </c>
      <c r="G559">
        <v>0.5</v>
      </c>
      <c r="K559">
        <v>0.5</v>
      </c>
      <c r="L559" t="s">
        <v>19</v>
      </c>
      <c r="M559">
        <v>1031.7</v>
      </c>
      <c r="N559">
        <v>42.5</v>
      </c>
      <c r="O559" s="8">
        <v>0</v>
      </c>
      <c r="P559">
        <v>488.8</v>
      </c>
      <c r="Q559" s="5"/>
      <c r="R559" s="26">
        <f t="shared" si="23"/>
        <v>1563</v>
      </c>
      <c r="S559" s="27">
        <f t="shared" si="24"/>
        <v>1844.34</v>
      </c>
    </row>
    <row r="560" spans="1:19" x14ac:dyDescent="0.3">
      <c r="A560">
        <v>200010076</v>
      </c>
      <c r="B560" s="18">
        <v>273723367</v>
      </c>
      <c r="C560" s="22">
        <v>46251</v>
      </c>
      <c r="D560" s="19">
        <v>875324122507</v>
      </c>
      <c r="E560" s="37">
        <v>44163</v>
      </c>
      <c r="F560" t="s">
        <v>43</v>
      </c>
      <c r="G560">
        <v>0.5</v>
      </c>
      <c r="K560">
        <v>0.5</v>
      </c>
      <c r="L560" t="s">
        <v>19</v>
      </c>
      <c r="M560">
        <v>1031.7</v>
      </c>
      <c r="N560">
        <v>42.5</v>
      </c>
      <c r="O560" s="8">
        <v>0</v>
      </c>
      <c r="P560" s="8">
        <v>488.8</v>
      </c>
      <c r="Q560" s="5"/>
      <c r="R560" s="26">
        <f t="shared" si="23"/>
        <v>1563</v>
      </c>
      <c r="S560" s="27">
        <f t="shared" si="24"/>
        <v>1844.34</v>
      </c>
    </row>
    <row r="561" spans="1:19" x14ac:dyDescent="0.3">
      <c r="A561">
        <v>200010076</v>
      </c>
      <c r="B561" s="18">
        <v>273723367</v>
      </c>
      <c r="C561" s="22">
        <v>46251</v>
      </c>
      <c r="D561" s="19">
        <v>875324129590</v>
      </c>
      <c r="E561" s="37">
        <v>44176</v>
      </c>
      <c r="F561" t="s">
        <v>43</v>
      </c>
      <c r="G561">
        <v>0.5</v>
      </c>
      <c r="K561">
        <v>0.5</v>
      </c>
      <c r="L561" t="s">
        <v>19</v>
      </c>
      <c r="M561">
        <v>1031.7</v>
      </c>
      <c r="N561">
        <v>42.5</v>
      </c>
      <c r="O561" s="8">
        <v>0</v>
      </c>
      <c r="P561" s="8">
        <v>488.8</v>
      </c>
      <c r="Q561" s="5"/>
      <c r="R561" s="26">
        <f t="shared" si="23"/>
        <v>1563</v>
      </c>
      <c r="S561" s="27">
        <f t="shared" si="24"/>
        <v>1844.34</v>
      </c>
    </row>
    <row r="562" spans="1:19" x14ac:dyDescent="0.3">
      <c r="A562">
        <v>200010076</v>
      </c>
      <c r="B562" s="18">
        <v>273723367</v>
      </c>
      <c r="C562" s="22">
        <v>46251</v>
      </c>
      <c r="D562" s="19">
        <v>875372623016</v>
      </c>
      <c r="E562" s="37">
        <v>7871476</v>
      </c>
      <c r="F562" t="s">
        <v>44</v>
      </c>
      <c r="G562">
        <v>19</v>
      </c>
      <c r="H562">
        <v>45</v>
      </c>
      <c r="I562">
        <v>41</v>
      </c>
      <c r="J562">
        <v>24</v>
      </c>
      <c r="K562">
        <v>18.600000000000001</v>
      </c>
      <c r="L562" t="s">
        <v>19</v>
      </c>
      <c r="M562">
        <v>7851.7</v>
      </c>
      <c r="N562">
        <v>1254</v>
      </c>
      <c r="O562" s="8">
        <v>0</v>
      </c>
      <c r="P562" s="8">
        <v>4143.1000000000004</v>
      </c>
      <c r="Q562" s="5"/>
      <c r="R562" s="26">
        <f t="shared" si="23"/>
        <v>13248.800000000001</v>
      </c>
      <c r="S562" s="27">
        <f t="shared" si="24"/>
        <v>15633.584000000001</v>
      </c>
    </row>
    <row r="563" spans="1:19" x14ac:dyDescent="0.3">
      <c r="A563">
        <v>200010076</v>
      </c>
      <c r="B563" s="18">
        <v>273723367</v>
      </c>
      <c r="C563" s="22">
        <v>46251</v>
      </c>
      <c r="D563" s="19">
        <v>875372628485</v>
      </c>
      <c r="E563" s="37">
        <v>4082607728</v>
      </c>
      <c r="F563" t="s">
        <v>44</v>
      </c>
      <c r="G563">
        <v>11</v>
      </c>
      <c r="H563">
        <v>86</v>
      </c>
      <c r="I563">
        <v>27</v>
      </c>
      <c r="J563">
        <v>27</v>
      </c>
      <c r="K563">
        <v>11</v>
      </c>
      <c r="L563" t="s">
        <v>19</v>
      </c>
      <c r="M563">
        <v>4983.7</v>
      </c>
      <c r="N563">
        <v>726</v>
      </c>
      <c r="O563" s="8">
        <v>180</v>
      </c>
      <c r="P563" s="8">
        <v>2597.9</v>
      </c>
      <c r="Q563" s="5"/>
      <c r="R563" s="26">
        <f t="shared" si="23"/>
        <v>8487.6</v>
      </c>
      <c r="S563" s="27">
        <f t="shared" si="24"/>
        <v>10015.368</v>
      </c>
    </row>
    <row r="564" spans="1:19" x14ac:dyDescent="0.3">
      <c r="A564">
        <v>200010076</v>
      </c>
      <c r="B564" s="18">
        <v>273723367</v>
      </c>
      <c r="C564" s="22">
        <v>46251</v>
      </c>
      <c r="D564" s="19">
        <v>875373761781</v>
      </c>
      <c r="E564" s="37">
        <v>42652</v>
      </c>
      <c r="F564" t="s">
        <v>44</v>
      </c>
      <c r="G564">
        <v>33</v>
      </c>
      <c r="H564">
        <v>108</v>
      </c>
      <c r="I564">
        <v>30</v>
      </c>
      <c r="J564">
        <v>29</v>
      </c>
      <c r="K564">
        <v>33</v>
      </c>
      <c r="L564" t="s">
        <v>19</v>
      </c>
      <c r="M564">
        <v>13601.9</v>
      </c>
      <c r="N564">
        <v>2178</v>
      </c>
      <c r="O564" s="8">
        <v>0</v>
      </c>
      <c r="P564" s="8">
        <v>7179.9</v>
      </c>
      <c r="Q564" s="5"/>
      <c r="R564" s="26">
        <f t="shared" si="23"/>
        <v>22959.8</v>
      </c>
      <c r="S564" s="27">
        <f t="shared" si="24"/>
        <v>27092.563999999998</v>
      </c>
    </row>
    <row r="565" spans="1:19" x14ac:dyDescent="0.3">
      <c r="A565">
        <v>200010076</v>
      </c>
      <c r="B565" s="18">
        <v>273723367</v>
      </c>
      <c r="C565" s="22">
        <v>46251</v>
      </c>
      <c r="D565" s="19">
        <v>875424311986</v>
      </c>
      <c r="E565" s="37">
        <v>43621</v>
      </c>
      <c r="F565" t="s">
        <v>45</v>
      </c>
      <c r="G565">
        <v>29</v>
      </c>
      <c r="H565">
        <v>89</v>
      </c>
      <c r="I565">
        <v>31</v>
      </c>
      <c r="J565">
        <v>31</v>
      </c>
      <c r="K565">
        <v>29</v>
      </c>
      <c r="L565" t="s">
        <v>19</v>
      </c>
      <c r="M565">
        <v>11999.1</v>
      </c>
      <c r="N565">
        <v>1914</v>
      </c>
      <c r="O565" s="8">
        <v>0</v>
      </c>
      <c r="P565" s="8">
        <v>6330.5</v>
      </c>
      <c r="Q565" s="5"/>
      <c r="R565" s="26">
        <f t="shared" si="23"/>
        <v>20243.599999999999</v>
      </c>
      <c r="S565" s="27">
        <f t="shared" si="24"/>
        <v>23887.447999999997</v>
      </c>
    </row>
    <row r="566" spans="1:19" x14ac:dyDescent="0.3">
      <c r="A566">
        <v>200010076</v>
      </c>
      <c r="B566" s="18">
        <v>273723367</v>
      </c>
      <c r="C566" s="22">
        <v>46251</v>
      </c>
      <c r="D566" s="19">
        <v>875507711266</v>
      </c>
      <c r="E566" s="37">
        <v>42385</v>
      </c>
      <c r="F566" t="s">
        <v>46</v>
      </c>
      <c r="G566">
        <v>39</v>
      </c>
      <c r="H566">
        <v>77</v>
      </c>
      <c r="I566">
        <v>41</v>
      </c>
      <c r="J566">
        <v>40</v>
      </c>
      <c r="K566">
        <v>38.799999999999997</v>
      </c>
      <c r="L566" t="s">
        <v>19</v>
      </c>
      <c r="M566">
        <v>16006.2</v>
      </c>
      <c r="N566">
        <v>2574</v>
      </c>
      <c r="O566" s="8">
        <v>0</v>
      </c>
      <c r="P566">
        <v>8454</v>
      </c>
      <c r="Q566" s="5"/>
      <c r="R566" s="26">
        <f t="shared" si="23"/>
        <v>27034.2</v>
      </c>
      <c r="S566" s="27">
        <f t="shared" si="24"/>
        <v>31900.356</v>
      </c>
    </row>
    <row r="567" spans="1:19" x14ac:dyDescent="0.3">
      <c r="A567">
        <v>200010076</v>
      </c>
      <c r="B567" s="18">
        <v>273723367</v>
      </c>
      <c r="C567" s="22">
        <v>46251</v>
      </c>
      <c r="D567" s="19">
        <v>875472287751</v>
      </c>
      <c r="E567" t="s">
        <v>47</v>
      </c>
      <c r="F567" t="s">
        <v>46</v>
      </c>
      <c r="G567">
        <v>0.54</v>
      </c>
      <c r="K567">
        <v>0.5</v>
      </c>
      <c r="L567" t="s">
        <v>19</v>
      </c>
      <c r="M567">
        <v>1083.2</v>
      </c>
      <c r="N567">
        <v>42.5</v>
      </c>
      <c r="O567" s="8">
        <v>0</v>
      </c>
      <c r="P567">
        <v>512.20000000000005</v>
      </c>
      <c r="Q567" s="5"/>
      <c r="R567" s="26">
        <f t="shared" ref="R567" si="25">SUM(M567:P567)</f>
        <v>1637.9</v>
      </c>
      <c r="S567" s="27">
        <f t="shared" ref="S567" si="26">+R567*1.18</f>
        <v>1932.722</v>
      </c>
    </row>
    <row r="568" spans="1:19" x14ac:dyDescent="0.3">
      <c r="A568">
        <v>200010076</v>
      </c>
      <c r="C568" s="22"/>
      <c r="F568" s="6"/>
      <c r="K568" s="7"/>
      <c r="M568" s="8"/>
      <c r="O568" s="8"/>
      <c r="P568" s="8"/>
      <c r="Q568" s="5"/>
      <c r="R568" s="26"/>
      <c r="S568" s="27"/>
    </row>
    <row r="569" spans="1:19" x14ac:dyDescent="0.3">
      <c r="A569">
        <v>200010076</v>
      </c>
      <c r="C569" s="22"/>
      <c r="F569" s="6"/>
      <c r="K569" s="7"/>
      <c r="M569" s="8"/>
      <c r="O569" s="8"/>
      <c r="Q569" s="5"/>
      <c r="R569" s="26"/>
      <c r="S569" s="27"/>
    </row>
    <row r="570" spans="1:19" x14ac:dyDescent="0.3">
      <c r="A570">
        <v>200010076</v>
      </c>
      <c r="C570" s="22"/>
      <c r="F570" s="6"/>
      <c r="K570" s="7"/>
      <c r="M570" s="8"/>
      <c r="O570" s="8"/>
      <c r="Q570" s="5"/>
      <c r="R570" s="26"/>
      <c r="S570" s="27"/>
    </row>
    <row r="571" spans="1:19" x14ac:dyDescent="0.3">
      <c r="A571">
        <v>200010076</v>
      </c>
      <c r="C571" s="22"/>
      <c r="F571" s="6"/>
      <c r="K571" s="7"/>
      <c r="M571" s="8"/>
      <c r="O571" s="8"/>
      <c r="Q571" s="5"/>
      <c r="R571" s="26"/>
      <c r="S571" s="27"/>
    </row>
    <row r="572" spans="1:19" x14ac:dyDescent="0.3">
      <c r="A572">
        <v>200010076</v>
      </c>
      <c r="C572" s="22"/>
      <c r="F572" s="6"/>
      <c r="K572" s="7"/>
      <c r="M572" s="8"/>
      <c r="O572" s="8"/>
      <c r="P572" s="8"/>
      <c r="Q572" s="5"/>
      <c r="R572" s="26"/>
      <c r="S572" s="27"/>
    </row>
    <row r="573" spans="1:19" x14ac:dyDescent="0.3">
      <c r="A573">
        <v>200010076</v>
      </c>
      <c r="C573" s="22"/>
      <c r="F573" s="6"/>
      <c r="K573" s="7"/>
      <c r="M573" s="8"/>
      <c r="O573" s="8"/>
      <c r="Q573" s="5"/>
      <c r="R573" s="26"/>
      <c r="S573" s="27"/>
    </row>
    <row r="574" spans="1:19" x14ac:dyDescent="0.3">
      <c r="A574">
        <v>200010076</v>
      </c>
      <c r="C574" s="22"/>
      <c r="F574" s="6"/>
      <c r="K574" s="7"/>
      <c r="M574" s="8"/>
      <c r="O574" s="8"/>
      <c r="P574" s="8"/>
      <c r="Q574" s="5"/>
      <c r="R574" s="26"/>
      <c r="S574" s="27"/>
    </row>
    <row r="575" spans="1:19" x14ac:dyDescent="0.3">
      <c r="A575">
        <v>200010076</v>
      </c>
      <c r="C575" s="22"/>
      <c r="F575" s="6"/>
      <c r="K575" s="7"/>
      <c r="M575" s="8"/>
      <c r="O575" s="8"/>
      <c r="Q575" s="5"/>
      <c r="R575" s="26"/>
      <c r="S575" s="27"/>
    </row>
    <row r="576" spans="1:19" x14ac:dyDescent="0.3">
      <c r="A576">
        <v>200010076</v>
      </c>
      <c r="C576" s="22"/>
      <c r="F576" s="6"/>
      <c r="K576" s="7"/>
      <c r="M576" s="8"/>
      <c r="O576" s="8"/>
      <c r="Q576" s="5"/>
      <c r="R576" s="26"/>
      <c r="S576" s="27"/>
    </row>
    <row r="577" spans="1:19" x14ac:dyDescent="0.3">
      <c r="A577">
        <v>200010076</v>
      </c>
      <c r="C577" s="22"/>
      <c r="F577" s="6"/>
      <c r="K577" s="7"/>
      <c r="M577" s="8"/>
      <c r="O577" s="8"/>
      <c r="Q577" s="5"/>
      <c r="R577" s="26"/>
      <c r="S577" s="27"/>
    </row>
    <row r="578" spans="1:19" x14ac:dyDescent="0.3">
      <c r="A578">
        <v>200010076</v>
      </c>
      <c r="C578" s="22"/>
      <c r="F578" s="6"/>
      <c r="K578" s="7"/>
      <c r="M578" s="8"/>
      <c r="O578" s="8"/>
      <c r="P578" s="8"/>
      <c r="Q578" s="5"/>
      <c r="R578" s="26"/>
      <c r="S578" s="27"/>
    </row>
    <row r="579" spans="1:19" x14ac:dyDescent="0.3">
      <c r="A579">
        <v>200010076</v>
      </c>
      <c r="C579" s="22"/>
      <c r="F579" s="6"/>
      <c r="K579" s="7"/>
      <c r="M579" s="8"/>
      <c r="O579" s="8"/>
      <c r="P579" s="8"/>
      <c r="Q579" s="5"/>
      <c r="R579" s="26"/>
      <c r="S579" s="27"/>
    </row>
    <row r="580" spans="1:19" x14ac:dyDescent="0.3">
      <c r="A580">
        <v>200010076</v>
      </c>
      <c r="C580" s="22"/>
      <c r="F580" s="6"/>
      <c r="K580" s="7"/>
      <c r="M580" s="8"/>
      <c r="O580" s="8"/>
      <c r="P580" s="8"/>
      <c r="Q580" s="5"/>
      <c r="R580" s="26"/>
      <c r="S580" s="27"/>
    </row>
    <row r="581" spans="1:19" x14ac:dyDescent="0.3">
      <c r="A581">
        <v>200010076</v>
      </c>
      <c r="C581" s="22"/>
      <c r="F581" s="6"/>
      <c r="K581" s="7"/>
      <c r="M581" s="8"/>
      <c r="O581" s="8"/>
      <c r="Q581" s="5"/>
      <c r="R581" s="26"/>
      <c r="S581" s="27"/>
    </row>
    <row r="582" spans="1:19" x14ac:dyDescent="0.3">
      <c r="A582">
        <v>200010076</v>
      </c>
      <c r="C582" s="22"/>
      <c r="F582" s="6"/>
      <c r="K582" s="7"/>
      <c r="M582" s="8"/>
      <c r="O582" s="8"/>
      <c r="P582" s="8"/>
      <c r="Q582" s="5"/>
      <c r="R582" s="26"/>
      <c r="S582" s="27"/>
    </row>
    <row r="583" spans="1:19" x14ac:dyDescent="0.3">
      <c r="A583">
        <v>200010076</v>
      </c>
      <c r="C583" s="22"/>
      <c r="F583" s="6"/>
      <c r="K583" s="7"/>
      <c r="M583" s="8"/>
      <c r="O583" s="8"/>
      <c r="P583" s="8"/>
      <c r="Q583" s="5"/>
      <c r="R583" s="26"/>
      <c r="S583" s="27"/>
    </row>
    <row r="584" spans="1:19" x14ac:dyDescent="0.3">
      <c r="A584">
        <v>200010076</v>
      </c>
      <c r="C584" s="22"/>
      <c r="F584" s="6"/>
      <c r="K584" s="7"/>
      <c r="M584" s="8"/>
      <c r="O584" s="8"/>
      <c r="Q584" s="5"/>
      <c r="R584" s="26"/>
      <c r="S584" s="27"/>
    </row>
    <row r="585" spans="1:19" x14ac:dyDescent="0.3">
      <c r="A585">
        <v>200010076</v>
      </c>
      <c r="C585" s="22"/>
      <c r="F585" s="6"/>
      <c r="K585" s="7"/>
      <c r="M585" s="8"/>
      <c r="O585" s="8"/>
      <c r="P585" s="8"/>
      <c r="Q585" s="5"/>
      <c r="R585" s="26"/>
      <c r="S585" s="27"/>
    </row>
    <row r="586" spans="1:19" x14ac:dyDescent="0.3">
      <c r="A586">
        <v>200010076</v>
      </c>
      <c r="C586" s="22"/>
      <c r="F586" s="6"/>
      <c r="K586" s="7"/>
      <c r="M586" s="8"/>
      <c r="O586" s="8"/>
      <c r="P586" s="8"/>
      <c r="Q586" s="5"/>
      <c r="R586" s="26"/>
      <c r="S586" s="27"/>
    </row>
    <row r="587" spans="1:19" x14ac:dyDescent="0.3">
      <c r="A587">
        <v>200010076</v>
      </c>
      <c r="C587" s="22"/>
      <c r="F587" s="6"/>
      <c r="K587" s="7"/>
      <c r="M587" s="8"/>
      <c r="N587" s="8"/>
      <c r="O587" s="8"/>
      <c r="P587" s="8"/>
      <c r="Q587" s="5"/>
      <c r="R587" s="26"/>
      <c r="S587" s="27"/>
    </row>
    <row r="588" spans="1:19" x14ac:dyDescent="0.3">
      <c r="A588">
        <v>200010076</v>
      </c>
      <c r="C588" s="22"/>
      <c r="F588" s="6"/>
      <c r="K588" s="7"/>
      <c r="M588" s="8"/>
      <c r="O588" s="8"/>
      <c r="P588" s="8"/>
      <c r="Q588" s="5"/>
      <c r="R588" s="26"/>
      <c r="S588" s="27"/>
    </row>
    <row r="589" spans="1:19" x14ac:dyDescent="0.3">
      <c r="A589">
        <v>200010076</v>
      </c>
      <c r="C589" s="22"/>
      <c r="F589" s="6"/>
      <c r="K589" s="7"/>
      <c r="M589" s="8"/>
      <c r="N589" s="8"/>
      <c r="O589" s="8"/>
      <c r="P589" s="8"/>
      <c r="Q589" s="5"/>
      <c r="R589" s="26"/>
      <c r="S589" s="27"/>
    </row>
    <row r="590" spans="1:19" x14ac:dyDescent="0.3">
      <c r="A590">
        <v>200010076</v>
      </c>
      <c r="C590" s="22"/>
      <c r="F590" s="6"/>
      <c r="K590" s="7"/>
      <c r="M590" s="8"/>
      <c r="O590" s="8"/>
      <c r="P590" s="8"/>
      <c r="Q590" s="5"/>
      <c r="R590" s="26"/>
      <c r="S590" s="27"/>
    </row>
    <row r="591" spans="1:19" x14ac:dyDescent="0.3">
      <c r="A591">
        <v>200010076</v>
      </c>
      <c r="C591" s="22"/>
      <c r="F591" s="6"/>
      <c r="K591" s="7"/>
      <c r="M591" s="8"/>
      <c r="O591" s="8"/>
      <c r="P591" s="8"/>
      <c r="Q591" s="5"/>
      <c r="R591" s="26"/>
      <c r="S591" s="27"/>
    </row>
    <row r="592" spans="1:19" x14ac:dyDescent="0.3">
      <c r="A592">
        <v>200010076</v>
      </c>
      <c r="C592" s="22"/>
      <c r="F592" s="6"/>
      <c r="K592" s="7"/>
      <c r="M592" s="8"/>
      <c r="O592" s="8"/>
      <c r="P592" s="8"/>
      <c r="Q592" s="5"/>
      <c r="R592" s="26"/>
      <c r="S592" s="27"/>
    </row>
    <row r="593" spans="1:19" x14ac:dyDescent="0.3">
      <c r="A593">
        <v>200010076</v>
      </c>
      <c r="C593" s="22"/>
      <c r="F593" s="6"/>
      <c r="K593" s="7"/>
      <c r="M593" s="8"/>
      <c r="O593" s="8"/>
      <c r="P593" s="8"/>
      <c r="Q593" s="5"/>
      <c r="R593" s="26"/>
      <c r="S593" s="27"/>
    </row>
    <row r="594" spans="1:19" x14ac:dyDescent="0.3">
      <c r="A594">
        <v>200010076</v>
      </c>
      <c r="C594" s="22"/>
      <c r="F594" s="6"/>
      <c r="K594" s="7"/>
      <c r="M594" s="8"/>
      <c r="O594" s="8"/>
      <c r="P594" s="8"/>
      <c r="Q594" s="5"/>
      <c r="R594" s="26"/>
      <c r="S594" s="27"/>
    </row>
    <row r="595" spans="1:19" x14ac:dyDescent="0.3">
      <c r="A595">
        <v>200010076</v>
      </c>
      <c r="C595" s="22"/>
      <c r="F595" s="6"/>
      <c r="K595" s="7"/>
      <c r="M595" s="8"/>
      <c r="O595" s="8"/>
      <c r="P595" s="8"/>
      <c r="Q595" s="5"/>
      <c r="R595" s="26"/>
      <c r="S595" s="27"/>
    </row>
    <row r="596" spans="1:19" x14ac:dyDescent="0.3">
      <c r="A596">
        <v>200010076</v>
      </c>
      <c r="C596" s="22"/>
      <c r="F596" s="6"/>
      <c r="K596" s="7"/>
      <c r="M596" s="8"/>
      <c r="O596" s="8"/>
      <c r="P596" s="8"/>
      <c r="Q596" s="5"/>
      <c r="R596" s="26"/>
      <c r="S596" s="27"/>
    </row>
    <row r="597" spans="1:19" x14ac:dyDescent="0.3">
      <c r="A597">
        <v>200010076</v>
      </c>
      <c r="C597" s="22"/>
      <c r="F597" s="6"/>
      <c r="K597" s="7"/>
      <c r="M597" s="8"/>
      <c r="O597" s="8"/>
      <c r="P597" s="8"/>
      <c r="Q597" s="5"/>
      <c r="R597" s="26"/>
      <c r="S597" s="27"/>
    </row>
    <row r="598" spans="1:19" x14ac:dyDescent="0.3">
      <c r="A598">
        <v>200010076</v>
      </c>
      <c r="C598" s="22"/>
      <c r="F598" s="6"/>
      <c r="K598" s="7"/>
      <c r="M598" s="8"/>
      <c r="O598" s="8"/>
      <c r="Q598" s="5"/>
      <c r="R598" s="26"/>
      <c r="S598" s="27"/>
    </row>
    <row r="599" spans="1:19" x14ac:dyDescent="0.3">
      <c r="A599">
        <v>200010076</v>
      </c>
      <c r="C599" s="22"/>
      <c r="F599" s="6"/>
      <c r="K599" s="7"/>
      <c r="M599" s="8"/>
      <c r="O599" s="8"/>
      <c r="P599" s="8"/>
      <c r="Q599" s="5"/>
      <c r="R599" s="26"/>
      <c r="S599" s="27"/>
    </row>
    <row r="600" spans="1:19" x14ac:dyDescent="0.3">
      <c r="A600">
        <v>200010076</v>
      </c>
      <c r="C600" s="22"/>
      <c r="F600" s="6"/>
      <c r="K600" s="7"/>
      <c r="M600" s="8"/>
      <c r="O600" s="8"/>
      <c r="P600" s="8"/>
      <c r="Q600" s="5"/>
      <c r="R600" s="26"/>
      <c r="S600" s="27"/>
    </row>
    <row r="601" spans="1:19" x14ac:dyDescent="0.3">
      <c r="A601">
        <v>200010076</v>
      </c>
      <c r="C601" s="22"/>
      <c r="F601" s="6"/>
      <c r="K601" s="7"/>
      <c r="M601" s="8"/>
      <c r="O601" s="8"/>
      <c r="P601" s="8"/>
      <c r="Q601" s="5"/>
      <c r="R601" s="26"/>
      <c r="S601" s="27"/>
    </row>
    <row r="602" spans="1:19" x14ac:dyDescent="0.3">
      <c r="A602">
        <v>200010076</v>
      </c>
      <c r="C602" s="22"/>
      <c r="F602" s="6"/>
      <c r="K602" s="7"/>
      <c r="M602" s="8"/>
      <c r="O602" s="8"/>
      <c r="Q602" s="5"/>
      <c r="R602" s="26"/>
      <c r="S602" s="27"/>
    </row>
    <row r="603" spans="1:19" x14ac:dyDescent="0.3">
      <c r="A603">
        <v>200010076</v>
      </c>
      <c r="C603" s="22"/>
      <c r="F603" s="6"/>
      <c r="K603" s="7"/>
      <c r="M603" s="8"/>
      <c r="O603" s="8"/>
      <c r="P603" s="8"/>
      <c r="Q603" s="5"/>
      <c r="R603" s="26"/>
      <c r="S603" s="27"/>
    </row>
    <row r="604" spans="1:19" x14ac:dyDescent="0.3">
      <c r="A604">
        <v>200010076</v>
      </c>
      <c r="C604" s="22"/>
      <c r="F604" s="6"/>
      <c r="K604" s="7"/>
      <c r="M604" s="8"/>
      <c r="O604" s="8"/>
      <c r="Q604" s="5"/>
      <c r="R604" s="26"/>
      <c r="S604" s="27"/>
    </row>
    <row r="605" spans="1:19" x14ac:dyDescent="0.3">
      <c r="A605">
        <v>200010076</v>
      </c>
      <c r="C605" s="22"/>
      <c r="F605" s="6"/>
      <c r="K605" s="7"/>
      <c r="M605" s="8"/>
      <c r="O605" s="8"/>
      <c r="Q605" s="5"/>
      <c r="R605" s="26"/>
      <c r="S605" s="27"/>
    </row>
    <row r="606" spans="1:19" x14ac:dyDescent="0.3">
      <c r="A606">
        <v>200010076</v>
      </c>
      <c r="C606" s="22"/>
      <c r="F606" s="6"/>
      <c r="K606" s="7"/>
      <c r="M606" s="8"/>
      <c r="O606" s="8"/>
      <c r="P606" s="8"/>
      <c r="Q606" s="5"/>
      <c r="R606" s="26"/>
      <c r="S606" s="27"/>
    </row>
    <row r="607" spans="1:19" x14ac:dyDescent="0.3">
      <c r="A607">
        <v>200010076</v>
      </c>
      <c r="C607" s="22"/>
      <c r="F607" s="6"/>
      <c r="K607" s="7"/>
      <c r="M607" s="8"/>
      <c r="N607" s="8"/>
      <c r="O607" s="8"/>
      <c r="P607" s="8"/>
      <c r="Q607" s="5"/>
      <c r="R607" s="26"/>
      <c r="S607" s="27"/>
    </row>
    <row r="608" spans="1:19" x14ac:dyDescent="0.3">
      <c r="A608">
        <v>200010076</v>
      </c>
      <c r="C608" s="22"/>
      <c r="F608" s="6"/>
      <c r="K608" s="7"/>
      <c r="M608" s="8"/>
      <c r="O608" s="8"/>
      <c r="P608" s="8"/>
      <c r="Q608" s="5"/>
      <c r="R608" s="26"/>
      <c r="S608" s="27"/>
    </row>
    <row r="609" spans="1:19" x14ac:dyDescent="0.3">
      <c r="A609">
        <v>200010076</v>
      </c>
      <c r="C609" s="22"/>
      <c r="F609" s="6"/>
      <c r="K609" s="7"/>
      <c r="M609" s="8"/>
      <c r="O609" s="8"/>
      <c r="Q609" s="5"/>
      <c r="R609" s="26"/>
      <c r="S609" s="27"/>
    </row>
    <row r="610" spans="1:19" x14ac:dyDescent="0.3">
      <c r="A610">
        <v>200010076</v>
      </c>
      <c r="C610" s="22"/>
      <c r="F610" s="6"/>
      <c r="K610" s="7"/>
      <c r="M610" s="8"/>
      <c r="O610" s="8"/>
      <c r="Q610" s="5"/>
      <c r="R610" s="26"/>
      <c r="S610" s="27"/>
    </row>
    <row r="611" spans="1:19" x14ac:dyDescent="0.3">
      <c r="A611">
        <v>200010076</v>
      </c>
      <c r="C611" s="22"/>
      <c r="F611" s="6"/>
      <c r="K611" s="7"/>
      <c r="M611" s="8"/>
      <c r="O611" s="8"/>
      <c r="P611" s="8"/>
      <c r="Q611" s="5"/>
      <c r="R611" s="26"/>
      <c r="S611" s="27"/>
    </row>
    <row r="612" spans="1:19" x14ac:dyDescent="0.3">
      <c r="A612">
        <v>200010076</v>
      </c>
      <c r="C612" s="22"/>
      <c r="F612" s="6"/>
      <c r="K612" s="7"/>
      <c r="M612" s="8"/>
      <c r="O612" s="8"/>
      <c r="P612" s="8"/>
      <c r="Q612" s="5"/>
      <c r="R612" s="26"/>
      <c r="S612" s="27"/>
    </row>
    <row r="613" spans="1:19" x14ac:dyDescent="0.3">
      <c r="A613">
        <v>200010076</v>
      </c>
      <c r="C613" s="22"/>
      <c r="F613" s="6"/>
      <c r="K613" s="7"/>
      <c r="M613" s="8"/>
      <c r="O613" s="8"/>
      <c r="Q613" s="5"/>
      <c r="R613" s="26"/>
      <c r="S613" s="27"/>
    </row>
    <row r="614" spans="1:19" x14ac:dyDescent="0.3">
      <c r="A614">
        <v>200010076</v>
      </c>
      <c r="C614" s="22"/>
      <c r="F614" s="6"/>
      <c r="K614" s="7"/>
      <c r="M614" s="8"/>
      <c r="O614" s="8"/>
      <c r="P614" s="8"/>
      <c r="Q614" s="5"/>
      <c r="R614" s="26"/>
      <c r="S614" s="27"/>
    </row>
    <row r="615" spans="1:19" x14ac:dyDescent="0.3">
      <c r="A615">
        <v>200010076</v>
      </c>
      <c r="C615" s="22"/>
      <c r="F615" s="6"/>
      <c r="K615" s="7"/>
      <c r="M615" s="8"/>
      <c r="Q615" s="5"/>
      <c r="R615" s="26"/>
      <c r="S615" s="27"/>
    </row>
    <row r="616" spans="1:19" x14ac:dyDescent="0.3">
      <c r="A616">
        <v>200010076</v>
      </c>
      <c r="C616" s="22"/>
      <c r="F616" s="6"/>
      <c r="K616" s="7"/>
      <c r="M616" s="8"/>
      <c r="Q616" s="5"/>
      <c r="R616" s="26"/>
      <c r="S616" s="27"/>
    </row>
    <row r="617" spans="1:19" x14ac:dyDescent="0.3">
      <c r="A617">
        <v>200010076</v>
      </c>
      <c r="C617" s="22"/>
      <c r="F617" s="6"/>
      <c r="K617" s="7"/>
      <c r="M617" s="8"/>
      <c r="Q617" s="5"/>
      <c r="R617" s="26"/>
      <c r="S617" s="27"/>
    </row>
    <row r="618" spans="1:19" x14ac:dyDescent="0.3">
      <c r="A618">
        <v>200010076</v>
      </c>
      <c r="C618" s="22"/>
      <c r="F618" s="6"/>
      <c r="K618" s="7"/>
      <c r="M618" s="8"/>
      <c r="Q618" s="5"/>
      <c r="R618" s="26"/>
      <c r="S618" s="27"/>
    </row>
    <row r="619" spans="1:19" x14ac:dyDescent="0.3">
      <c r="A619">
        <v>200010076</v>
      </c>
      <c r="C619" s="22"/>
      <c r="F619" s="6"/>
      <c r="K619" s="7"/>
      <c r="M619" s="8"/>
      <c r="Q619" s="5"/>
      <c r="R619" s="26"/>
      <c r="S619" s="27"/>
    </row>
    <row r="620" spans="1:19" x14ac:dyDescent="0.3">
      <c r="A620">
        <v>200010076</v>
      </c>
      <c r="C620" s="22"/>
      <c r="F620" s="6"/>
      <c r="K620" s="7"/>
      <c r="M620" s="8"/>
      <c r="Q620" s="5"/>
      <c r="R620" s="26"/>
      <c r="S620" s="27"/>
    </row>
    <row r="621" spans="1:19" x14ac:dyDescent="0.3">
      <c r="A621">
        <v>200010076</v>
      </c>
      <c r="C621" s="22"/>
      <c r="F621" s="6"/>
      <c r="K621" s="7"/>
      <c r="M621" s="8"/>
      <c r="Q621" s="5"/>
      <c r="R621" s="26"/>
      <c r="S621" s="27"/>
    </row>
    <row r="622" spans="1:19" x14ac:dyDescent="0.3">
      <c r="A622">
        <v>200010076</v>
      </c>
      <c r="C622" s="22"/>
      <c r="F622" s="6"/>
      <c r="K622" s="7"/>
      <c r="M622" s="8"/>
      <c r="Q622" s="5"/>
      <c r="R622" s="26"/>
      <c r="S622" s="27"/>
    </row>
    <row r="623" spans="1:19" x14ac:dyDescent="0.3">
      <c r="A623">
        <v>200010076</v>
      </c>
      <c r="C623" s="22"/>
      <c r="F623" s="6"/>
      <c r="K623" s="7"/>
      <c r="M623" s="8"/>
      <c r="Q623" s="5"/>
      <c r="R623" s="26"/>
      <c r="S623" s="27"/>
    </row>
    <row r="624" spans="1:19" x14ac:dyDescent="0.3">
      <c r="A624">
        <v>200010076</v>
      </c>
      <c r="C624" s="22"/>
      <c r="F624" s="6"/>
      <c r="K624" s="7"/>
      <c r="M624" s="8"/>
      <c r="Q624" s="5"/>
      <c r="R624" s="26"/>
      <c r="S624" s="27"/>
    </row>
    <row r="625" spans="1:19" x14ac:dyDescent="0.3">
      <c r="A625">
        <v>200010076</v>
      </c>
      <c r="C625" s="22"/>
      <c r="F625" s="6"/>
      <c r="K625" s="7"/>
      <c r="M625" s="8"/>
      <c r="Q625" s="5"/>
      <c r="R625" s="26"/>
      <c r="S625" s="27"/>
    </row>
    <row r="626" spans="1:19" x14ac:dyDescent="0.3">
      <c r="A626">
        <v>200010076</v>
      </c>
      <c r="C626" s="22"/>
      <c r="F626" s="6"/>
      <c r="K626" s="7"/>
      <c r="M626" s="8"/>
      <c r="N626" s="8"/>
      <c r="O626" s="8"/>
      <c r="P626" s="8"/>
      <c r="Q626" s="5"/>
      <c r="R626" s="26"/>
      <c r="S626" s="27"/>
    </row>
    <row r="627" spans="1:19" x14ac:dyDescent="0.3">
      <c r="A627">
        <v>200010076</v>
      </c>
      <c r="C627" s="22"/>
      <c r="F627" s="6"/>
      <c r="K627" s="7"/>
      <c r="M627" s="8"/>
      <c r="N627" s="8"/>
      <c r="O627" s="8"/>
      <c r="P627" s="8"/>
      <c r="Q627" s="5"/>
      <c r="R627" s="26"/>
      <c r="S627" s="27"/>
    </row>
    <row r="628" spans="1:19" x14ac:dyDescent="0.3">
      <c r="A628">
        <v>200010076</v>
      </c>
      <c r="C628" s="22"/>
      <c r="F628" s="6"/>
      <c r="K628" s="7"/>
      <c r="M628" s="8"/>
      <c r="Q628" s="5"/>
      <c r="R628" s="26"/>
      <c r="S628" s="27"/>
    </row>
    <row r="629" spans="1:19" x14ac:dyDescent="0.3">
      <c r="A629">
        <v>200010076</v>
      </c>
      <c r="C629" s="22"/>
      <c r="F629" s="6"/>
      <c r="K629" s="7"/>
      <c r="M629" s="8"/>
      <c r="Q629" s="5"/>
      <c r="R629" s="26"/>
      <c r="S629" s="27"/>
    </row>
    <row r="630" spans="1:19" x14ac:dyDescent="0.3">
      <c r="A630">
        <v>200010076</v>
      </c>
      <c r="C630" s="22"/>
      <c r="F630" s="6"/>
      <c r="K630" s="7"/>
      <c r="M630" s="8"/>
      <c r="Q630" s="5"/>
      <c r="R630" s="26"/>
      <c r="S630" s="27"/>
    </row>
    <row r="631" spans="1:19" x14ac:dyDescent="0.3">
      <c r="A631">
        <v>200010076</v>
      </c>
      <c r="C631" s="22"/>
      <c r="F631" s="6"/>
      <c r="K631" s="7"/>
      <c r="M631" s="8"/>
      <c r="Q631" s="5"/>
      <c r="R631" s="26"/>
      <c r="S631" s="27"/>
    </row>
    <row r="632" spans="1:19" x14ac:dyDescent="0.3">
      <c r="A632">
        <v>200010076</v>
      </c>
      <c r="C632" s="22"/>
      <c r="F632" s="6"/>
      <c r="K632" s="7"/>
      <c r="M632" s="8"/>
      <c r="Q632" s="5"/>
      <c r="R632" s="26"/>
      <c r="S632" s="27"/>
    </row>
    <row r="633" spans="1:19" x14ac:dyDescent="0.3">
      <c r="A633">
        <v>200010076</v>
      </c>
      <c r="C633" s="22"/>
      <c r="F633" s="6"/>
      <c r="K633" s="7"/>
      <c r="M633" s="8"/>
      <c r="Q633" s="5"/>
      <c r="R633" s="26"/>
      <c r="S633" s="27"/>
    </row>
    <row r="634" spans="1:19" x14ac:dyDescent="0.3">
      <c r="A634">
        <v>200010076</v>
      </c>
      <c r="C634" s="22"/>
      <c r="F634" s="6"/>
      <c r="K634" s="7"/>
      <c r="M634" s="8"/>
      <c r="Q634" s="5"/>
      <c r="R634" s="26"/>
      <c r="S634" s="27"/>
    </row>
    <row r="635" spans="1:19" x14ac:dyDescent="0.3">
      <c r="A635">
        <v>200010076</v>
      </c>
      <c r="C635" s="22"/>
      <c r="F635" s="6"/>
      <c r="K635" s="7"/>
      <c r="M635" s="8"/>
      <c r="O635" s="8"/>
      <c r="P635" s="8"/>
      <c r="Q635" s="5"/>
      <c r="R635" s="26"/>
      <c r="S635" s="27"/>
    </row>
    <row r="636" spans="1:19" x14ac:dyDescent="0.3">
      <c r="A636">
        <v>200010076</v>
      </c>
      <c r="C636" s="22"/>
      <c r="F636" s="6"/>
      <c r="K636" s="7"/>
      <c r="M636" s="8"/>
      <c r="N636" s="8"/>
      <c r="O636" s="8"/>
      <c r="P636" s="8"/>
      <c r="Q636" s="5"/>
      <c r="R636" s="26"/>
      <c r="S636" s="27"/>
    </row>
    <row r="637" spans="1:19" x14ac:dyDescent="0.3">
      <c r="A637">
        <v>200010076</v>
      </c>
      <c r="C637" s="22"/>
      <c r="F637" s="6"/>
      <c r="K637" s="7"/>
      <c r="M637" s="8"/>
      <c r="Q637" s="5"/>
      <c r="R637" s="26"/>
      <c r="S637" s="27"/>
    </row>
    <row r="638" spans="1:19" x14ac:dyDescent="0.3">
      <c r="A638">
        <v>200010076</v>
      </c>
      <c r="C638" s="22"/>
      <c r="F638" s="6"/>
      <c r="K638" s="7"/>
      <c r="Q638" s="5"/>
      <c r="R638" s="26"/>
      <c r="S638" s="27"/>
    </row>
    <row r="639" spans="1:19" x14ac:dyDescent="0.3">
      <c r="A639">
        <v>200010076</v>
      </c>
      <c r="C639" s="22"/>
      <c r="G639" s="7"/>
      <c r="K639" s="7"/>
      <c r="M639" s="8"/>
      <c r="N639" s="8"/>
      <c r="P639" s="8"/>
      <c r="Q639" s="5"/>
      <c r="R639" s="26"/>
      <c r="S639" s="27"/>
    </row>
    <row r="640" spans="1:19" x14ac:dyDescent="0.3">
      <c r="A640">
        <v>200010076</v>
      </c>
      <c r="C640" s="22"/>
      <c r="G640" s="7"/>
      <c r="K640" s="7"/>
      <c r="M640" s="8"/>
      <c r="N640" s="8"/>
      <c r="P640" s="8"/>
      <c r="Q640" s="5"/>
      <c r="R640" s="26"/>
      <c r="S640" s="27"/>
    </row>
    <row r="641" spans="1:19" x14ac:dyDescent="0.3">
      <c r="A641">
        <v>200010076</v>
      </c>
      <c r="C641" s="22"/>
      <c r="G641" s="7"/>
      <c r="K641" s="7"/>
      <c r="M641" s="8"/>
      <c r="N641" s="8"/>
      <c r="P641" s="8"/>
      <c r="Q641" s="5"/>
      <c r="R641" s="26"/>
      <c r="S641" s="27"/>
    </row>
    <row r="642" spans="1:19" x14ac:dyDescent="0.3">
      <c r="A642">
        <v>200010076</v>
      </c>
      <c r="C642" s="22"/>
      <c r="G642" s="7"/>
      <c r="K642" s="7"/>
      <c r="M642" s="8"/>
      <c r="N642" s="8"/>
      <c r="P642" s="8"/>
      <c r="Q642" s="5"/>
      <c r="R642" s="26"/>
      <c r="S642" s="27"/>
    </row>
    <row r="643" spans="1:19" x14ac:dyDescent="0.3">
      <c r="A643">
        <v>200010076</v>
      </c>
      <c r="C643" s="22"/>
      <c r="G643" s="7"/>
      <c r="K643" s="7"/>
      <c r="M643" s="8"/>
      <c r="N643" s="8"/>
      <c r="P643" s="8"/>
      <c r="Q643" s="5"/>
      <c r="R643" s="26"/>
      <c r="S643" s="27"/>
    </row>
    <row r="644" spans="1:19" x14ac:dyDescent="0.3">
      <c r="A644">
        <v>200010076</v>
      </c>
      <c r="C644" s="22"/>
      <c r="G644" s="7"/>
      <c r="K644" s="7"/>
      <c r="M644" s="8"/>
      <c r="N644" s="8"/>
      <c r="P644" s="8"/>
      <c r="Q644" s="5"/>
      <c r="R644" s="26"/>
      <c r="S644" s="27"/>
    </row>
    <row r="645" spans="1:19" x14ac:dyDescent="0.3">
      <c r="A645">
        <v>200010076</v>
      </c>
      <c r="C645" s="22"/>
      <c r="G645" s="7"/>
      <c r="K645" s="7"/>
      <c r="M645" s="8"/>
      <c r="N645" s="8"/>
      <c r="P645" s="8"/>
      <c r="Q645" s="5"/>
      <c r="R645" s="26"/>
      <c r="S645" s="27"/>
    </row>
    <row r="646" spans="1:19" x14ac:dyDescent="0.3">
      <c r="A646">
        <v>200010076</v>
      </c>
      <c r="C646" s="22"/>
      <c r="G646" s="7"/>
      <c r="K646" s="7"/>
      <c r="M646" s="8"/>
      <c r="N646" s="8"/>
      <c r="P646" s="8"/>
      <c r="Q646" s="5"/>
      <c r="R646" s="26"/>
      <c r="S646" s="27"/>
    </row>
    <row r="647" spans="1:19" x14ac:dyDescent="0.3">
      <c r="A647">
        <v>200010076</v>
      </c>
      <c r="C647" s="22"/>
      <c r="G647" s="7"/>
      <c r="K647" s="7"/>
      <c r="M647" s="8"/>
      <c r="N647" s="8"/>
      <c r="P647" s="8"/>
      <c r="Q647" s="5"/>
      <c r="R647" s="26"/>
      <c r="S647" s="27"/>
    </row>
    <row r="648" spans="1:19" x14ac:dyDescent="0.3">
      <c r="A648">
        <v>200010076</v>
      </c>
      <c r="C648" s="22"/>
      <c r="G648" s="7"/>
      <c r="K648" s="7"/>
      <c r="M648" s="8"/>
      <c r="N648" s="8"/>
      <c r="P648" s="8"/>
      <c r="Q648" s="5"/>
      <c r="R648" s="26"/>
      <c r="S648" s="27"/>
    </row>
    <row r="649" spans="1:19" x14ac:dyDescent="0.3">
      <c r="A649">
        <v>200010076</v>
      </c>
      <c r="C649" s="22"/>
      <c r="G649" s="7"/>
      <c r="K649" s="7"/>
      <c r="M649" s="8"/>
      <c r="N649" s="8"/>
      <c r="P649" s="8"/>
      <c r="Q649" s="5"/>
      <c r="R649" s="26"/>
      <c r="S649" s="27"/>
    </row>
    <row r="650" spans="1:19" x14ac:dyDescent="0.3">
      <c r="A650">
        <v>200010076</v>
      </c>
      <c r="C650" s="22"/>
      <c r="G650" s="7"/>
      <c r="K650" s="7"/>
      <c r="M650" s="8"/>
      <c r="N650" s="8"/>
      <c r="P650" s="8"/>
      <c r="Q650" s="5"/>
      <c r="R650" s="26"/>
      <c r="S650" s="27"/>
    </row>
    <row r="651" spans="1:19" x14ac:dyDescent="0.3">
      <c r="A651">
        <v>200010076</v>
      </c>
      <c r="C651" s="22"/>
      <c r="G651" s="7"/>
      <c r="K651" s="7"/>
      <c r="M651" s="8"/>
      <c r="N651" s="8"/>
      <c r="P651" s="8"/>
      <c r="Q651" s="5"/>
      <c r="R651" s="26"/>
      <c r="S651" s="27"/>
    </row>
    <row r="652" spans="1:19" x14ac:dyDescent="0.3">
      <c r="A652">
        <v>200010076</v>
      </c>
      <c r="C652" s="22"/>
      <c r="G652" s="7"/>
      <c r="K652" s="7"/>
      <c r="M652" s="8"/>
      <c r="N652" s="8"/>
      <c r="P652" s="8"/>
      <c r="Q652" s="5"/>
      <c r="R652" s="26"/>
      <c r="S652" s="27"/>
    </row>
    <row r="653" spans="1:19" x14ac:dyDescent="0.3">
      <c r="A653">
        <v>200010076</v>
      </c>
      <c r="C653" s="22"/>
      <c r="G653" s="7"/>
      <c r="K653" s="7"/>
      <c r="M653" s="8"/>
      <c r="N653" s="8"/>
      <c r="P653" s="8"/>
      <c r="Q653" s="5"/>
      <c r="R653" s="26"/>
      <c r="S653" s="27"/>
    </row>
    <row r="654" spans="1:19" x14ac:dyDescent="0.3">
      <c r="A654">
        <v>200010076</v>
      </c>
      <c r="C654" s="22"/>
      <c r="G654" s="7"/>
      <c r="K654" s="7"/>
      <c r="M654" s="8"/>
      <c r="N654" s="8"/>
      <c r="P654" s="8"/>
      <c r="Q654" s="5"/>
      <c r="R654" s="26"/>
      <c r="S654" s="27"/>
    </row>
    <row r="655" spans="1:19" x14ac:dyDescent="0.3">
      <c r="A655">
        <v>200010076</v>
      </c>
      <c r="C655" s="22"/>
      <c r="G655" s="7"/>
      <c r="K655" s="7"/>
      <c r="M655" s="8"/>
      <c r="N655" s="8"/>
      <c r="P655" s="8"/>
      <c r="Q655" s="5"/>
      <c r="R655" s="26"/>
      <c r="S655" s="27"/>
    </row>
    <row r="656" spans="1:19" x14ac:dyDescent="0.3">
      <c r="A656">
        <v>200010076</v>
      </c>
      <c r="C656" s="22"/>
      <c r="G656" s="7"/>
      <c r="K656" s="7"/>
      <c r="M656" s="8"/>
      <c r="N656" s="8"/>
      <c r="P656" s="8"/>
      <c r="Q656" s="5"/>
      <c r="R656" s="26"/>
      <c r="S656" s="27"/>
    </row>
    <row r="657" spans="1:19" x14ac:dyDescent="0.3">
      <c r="A657">
        <v>200010076</v>
      </c>
      <c r="C657" s="22"/>
      <c r="G657" s="7"/>
      <c r="K657" s="7"/>
      <c r="M657" s="8"/>
      <c r="N657" s="8"/>
      <c r="P657" s="8"/>
      <c r="Q657" s="5"/>
      <c r="R657" s="26"/>
      <c r="S657" s="27"/>
    </row>
    <row r="658" spans="1:19" x14ac:dyDescent="0.3">
      <c r="A658">
        <v>200010076</v>
      </c>
      <c r="C658" s="22"/>
      <c r="G658" s="7"/>
      <c r="K658" s="7"/>
      <c r="M658" s="8"/>
      <c r="N658" s="8"/>
      <c r="P658" s="8"/>
      <c r="Q658" s="5"/>
      <c r="R658" s="26"/>
      <c r="S658" s="27"/>
    </row>
    <row r="659" spans="1:19" x14ac:dyDescent="0.3">
      <c r="A659">
        <v>200010076</v>
      </c>
      <c r="C659" s="22"/>
      <c r="G659" s="7"/>
      <c r="K659" s="7"/>
      <c r="M659" s="8"/>
      <c r="N659" s="8"/>
      <c r="P659" s="8"/>
      <c r="Q659" s="5"/>
      <c r="R659" s="26"/>
      <c r="S659" s="27"/>
    </row>
    <row r="660" spans="1:19" x14ac:dyDescent="0.3">
      <c r="A660">
        <v>200010076</v>
      </c>
      <c r="C660" s="22"/>
      <c r="G660" s="7"/>
      <c r="K660" s="7"/>
      <c r="M660" s="8"/>
      <c r="N660" s="8"/>
      <c r="P660" s="8"/>
      <c r="Q660" s="5"/>
      <c r="R660" s="26"/>
      <c r="S660" s="27"/>
    </row>
    <row r="661" spans="1:19" x14ac:dyDescent="0.3">
      <c r="A661">
        <v>200010076</v>
      </c>
      <c r="C661" s="22"/>
      <c r="G661" s="7"/>
      <c r="K661" s="7"/>
      <c r="M661" s="8"/>
      <c r="N661" s="8"/>
      <c r="P661" s="8"/>
      <c r="Q661" s="5"/>
      <c r="R661" s="26"/>
      <c r="S661" s="27"/>
    </row>
    <row r="662" spans="1:19" x14ac:dyDescent="0.3">
      <c r="A662">
        <v>200010076</v>
      </c>
      <c r="C662" s="22"/>
      <c r="G662" s="7"/>
      <c r="K662" s="7"/>
      <c r="M662" s="8"/>
      <c r="N662" s="8"/>
      <c r="P662" s="8"/>
      <c r="Q662" s="5"/>
      <c r="R662" s="26"/>
      <c r="S662" s="27"/>
    </row>
    <row r="663" spans="1:19" x14ac:dyDescent="0.3">
      <c r="A663">
        <v>200010076</v>
      </c>
      <c r="C663" s="22"/>
      <c r="G663" s="7"/>
      <c r="K663" s="7"/>
      <c r="M663" s="8"/>
      <c r="N663" s="8"/>
      <c r="P663" s="8"/>
      <c r="Q663" s="5"/>
      <c r="R663" s="26"/>
      <c r="S663" s="27"/>
    </row>
    <row r="664" spans="1:19" x14ac:dyDescent="0.3">
      <c r="A664">
        <v>200010076</v>
      </c>
      <c r="C664" s="22"/>
      <c r="G664" s="7"/>
      <c r="K664" s="7"/>
      <c r="M664" s="8"/>
      <c r="N664" s="8"/>
      <c r="P664" s="8"/>
      <c r="Q664" s="5"/>
      <c r="R664" s="26"/>
      <c r="S664" s="27"/>
    </row>
    <row r="665" spans="1:19" x14ac:dyDescent="0.3">
      <c r="A665">
        <v>200010076</v>
      </c>
      <c r="C665" s="22"/>
      <c r="G665" s="7"/>
      <c r="K665" s="7"/>
      <c r="M665" s="8"/>
      <c r="N665" s="8"/>
      <c r="P665" s="8"/>
      <c r="Q665" s="5"/>
      <c r="R665" s="26"/>
      <c r="S665" s="27"/>
    </row>
    <row r="666" spans="1:19" x14ac:dyDescent="0.3">
      <c r="A666">
        <v>200010076</v>
      </c>
      <c r="C666" s="22"/>
      <c r="G666" s="7"/>
      <c r="K666" s="7"/>
      <c r="M666" s="8"/>
      <c r="N666" s="8"/>
      <c r="P666" s="8"/>
      <c r="Q666" s="5"/>
      <c r="R666" s="26"/>
      <c r="S666" s="27"/>
    </row>
    <row r="667" spans="1:19" x14ac:dyDescent="0.3">
      <c r="A667">
        <v>200010076</v>
      </c>
      <c r="C667" s="22"/>
      <c r="G667" s="7"/>
      <c r="K667" s="7"/>
      <c r="M667" s="8"/>
      <c r="N667" s="8"/>
      <c r="P667" s="8"/>
      <c r="Q667" s="5"/>
      <c r="R667" s="26"/>
      <c r="S667" s="27"/>
    </row>
    <row r="668" spans="1:19" x14ac:dyDescent="0.3">
      <c r="A668">
        <v>200010076</v>
      </c>
      <c r="C668" s="22"/>
      <c r="G668" s="7"/>
      <c r="K668" s="7"/>
      <c r="M668" s="8"/>
      <c r="N668" s="8"/>
      <c r="P668" s="8"/>
      <c r="Q668" s="5"/>
      <c r="R668" s="26"/>
      <c r="S668" s="27"/>
    </row>
    <row r="669" spans="1:19" x14ac:dyDescent="0.3">
      <c r="A669">
        <v>200010076</v>
      </c>
      <c r="C669" s="22"/>
      <c r="G669" s="7"/>
      <c r="K669" s="7"/>
      <c r="M669" s="8"/>
      <c r="N669" s="8"/>
      <c r="P669" s="8"/>
      <c r="Q669" s="5"/>
      <c r="R669" s="26"/>
      <c r="S669" s="27"/>
    </row>
    <row r="670" spans="1:19" x14ac:dyDescent="0.3">
      <c r="A670">
        <v>200010076</v>
      </c>
      <c r="C670" s="22"/>
      <c r="G670" s="7"/>
      <c r="K670" s="7"/>
      <c r="M670" s="8"/>
      <c r="N670" s="8"/>
      <c r="P670" s="8"/>
      <c r="Q670" s="5"/>
      <c r="R670" s="26"/>
      <c r="S670" s="27"/>
    </row>
    <row r="671" spans="1:19" x14ac:dyDescent="0.3">
      <c r="A671">
        <v>200010076</v>
      </c>
      <c r="C671" s="22"/>
      <c r="G671" s="7"/>
      <c r="K671" s="7"/>
      <c r="M671" s="8"/>
      <c r="N671" s="8"/>
      <c r="P671" s="8"/>
      <c r="Q671" s="5"/>
      <c r="R671" s="26"/>
      <c r="S671" s="27"/>
    </row>
    <row r="672" spans="1:19" x14ac:dyDescent="0.3">
      <c r="A672">
        <v>200010076</v>
      </c>
      <c r="C672" s="22"/>
      <c r="G672" s="7"/>
      <c r="K672" s="7"/>
      <c r="M672" s="8"/>
      <c r="N672" s="8"/>
      <c r="P672" s="8"/>
      <c r="Q672" s="5"/>
      <c r="R672" s="26"/>
      <c r="S672" s="27"/>
    </row>
    <row r="673" spans="1:19" x14ac:dyDescent="0.3">
      <c r="A673">
        <v>200010076</v>
      </c>
      <c r="C673" s="22"/>
      <c r="G673" s="7"/>
      <c r="K673" s="7"/>
      <c r="M673" s="8"/>
      <c r="N673" s="8"/>
      <c r="P673" s="8"/>
      <c r="Q673" s="5"/>
      <c r="R673" s="26"/>
      <c r="S673" s="27"/>
    </row>
    <row r="674" spans="1:19" x14ac:dyDescent="0.3">
      <c r="A674">
        <v>200010076</v>
      </c>
      <c r="C674" s="22"/>
      <c r="G674" s="7"/>
      <c r="K674" s="7"/>
      <c r="M674" s="8"/>
      <c r="N674" s="8"/>
      <c r="P674" s="8"/>
      <c r="Q674" s="5"/>
      <c r="R674" s="26"/>
      <c r="S674" s="27"/>
    </row>
    <row r="675" spans="1:19" x14ac:dyDescent="0.3">
      <c r="A675">
        <v>200010076</v>
      </c>
      <c r="C675" s="22"/>
      <c r="G675" s="7"/>
      <c r="K675" s="7"/>
      <c r="M675" s="8"/>
      <c r="N675" s="8"/>
      <c r="P675" s="8"/>
      <c r="Q675" s="5"/>
      <c r="R675" s="26"/>
      <c r="S675" s="27"/>
    </row>
    <row r="676" spans="1:19" x14ac:dyDescent="0.3">
      <c r="A676">
        <v>200010076</v>
      </c>
      <c r="C676" s="22"/>
      <c r="G676" s="7"/>
      <c r="K676" s="7"/>
      <c r="M676" s="8"/>
      <c r="N676" s="8"/>
      <c r="P676" s="8"/>
      <c r="Q676" s="5"/>
      <c r="R676" s="26"/>
      <c r="S676" s="27"/>
    </row>
    <row r="677" spans="1:19" x14ac:dyDescent="0.3">
      <c r="A677">
        <v>200010076</v>
      </c>
      <c r="C677" s="22"/>
      <c r="G677" s="7"/>
      <c r="K677" s="7"/>
      <c r="M677" s="8"/>
      <c r="N677" s="8"/>
      <c r="P677" s="8"/>
      <c r="Q677" s="5"/>
      <c r="R677" s="26"/>
      <c r="S677" s="27"/>
    </row>
    <row r="678" spans="1:19" x14ac:dyDescent="0.3">
      <c r="A678">
        <v>200010076</v>
      </c>
      <c r="C678" s="22"/>
      <c r="G678" s="7"/>
      <c r="K678" s="7"/>
      <c r="M678" s="8"/>
      <c r="N678" s="8"/>
      <c r="P678" s="8"/>
      <c r="Q678" s="5"/>
      <c r="R678" s="26"/>
      <c r="S678" s="27"/>
    </row>
    <row r="679" spans="1:19" x14ac:dyDescent="0.3">
      <c r="A679">
        <v>200010076</v>
      </c>
      <c r="C679" s="22"/>
      <c r="G679" s="7"/>
      <c r="K679" s="7"/>
      <c r="M679" s="8"/>
      <c r="N679" s="8"/>
      <c r="P679" s="8"/>
      <c r="Q679" s="5"/>
      <c r="R679" s="26"/>
      <c r="S679" s="27"/>
    </row>
    <row r="680" spans="1:19" x14ac:dyDescent="0.3">
      <c r="A680">
        <v>200010076</v>
      </c>
      <c r="C680" s="22"/>
      <c r="G680" s="7"/>
      <c r="K680" s="7"/>
      <c r="M680" s="8"/>
      <c r="N680" s="8"/>
      <c r="P680" s="8"/>
      <c r="Q680" s="5"/>
      <c r="R680" s="26"/>
      <c r="S680" s="27"/>
    </row>
    <row r="681" spans="1:19" x14ac:dyDescent="0.3">
      <c r="A681">
        <v>200010076</v>
      </c>
      <c r="C681" s="22"/>
      <c r="G681" s="7"/>
      <c r="K681" s="7"/>
      <c r="M681" s="8"/>
      <c r="N681" s="8"/>
      <c r="P681" s="8"/>
      <c r="Q681" s="5"/>
      <c r="R681" s="26"/>
      <c r="S681" s="27"/>
    </row>
    <row r="682" spans="1:19" x14ac:dyDescent="0.3">
      <c r="A682">
        <v>200010076</v>
      </c>
      <c r="C682" s="22"/>
      <c r="G682" s="7"/>
      <c r="K682" s="7"/>
      <c r="M682" s="8"/>
      <c r="N682" s="8"/>
      <c r="P682" s="8"/>
      <c r="Q682" s="5"/>
      <c r="R682" s="26"/>
      <c r="S682" s="27"/>
    </row>
    <row r="683" spans="1:19" x14ac:dyDescent="0.3">
      <c r="A683">
        <v>200010076</v>
      </c>
      <c r="C683" s="22"/>
      <c r="G683" s="7"/>
      <c r="K683" s="7"/>
      <c r="M683" s="8"/>
      <c r="N683" s="8"/>
      <c r="P683" s="8"/>
      <c r="Q683" s="5"/>
      <c r="R683" s="26"/>
      <c r="S683" s="27"/>
    </row>
    <row r="684" spans="1:19" x14ac:dyDescent="0.3">
      <c r="A684">
        <v>200010076</v>
      </c>
      <c r="C684" s="22"/>
      <c r="G684" s="7"/>
      <c r="K684" s="7"/>
      <c r="M684" s="8"/>
      <c r="N684" s="8"/>
      <c r="P684" s="8"/>
      <c r="Q684" s="5"/>
      <c r="R684" s="26"/>
      <c r="S684" s="27"/>
    </row>
    <row r="685" spans="1:19" x14ac:dyDescent="0.3">
      <c r="A685">
        <v>200010076</v>
      </c>
      <c r="C685" s="22"/>
      <c r="G685" s="7"/>
      <c r="K685" s="7"/>
      <c r="M685" s="8"/>
      <c r="N685" s="8"/>
      <c r="P685" s="8"/>
      <c r="Q685" s="5"/>
      <c r="R685" s="26"/>
      <c r="S685" s="27"/>
    </row>
    <row r="686" spans="1:19" x14ac:dyDescent="0.3">
      <c r="A686">
        <v>200010076</v>
      </c>
      <c r="C686" s="22"/>
      <c r="G686" s="7"/>
      <c r="K686" s="7"/>
      <c r="M686" s="8"/>
      <c r="N686" s="8"/>
      <c r="P686" s="8"/>
      <c r="Q686" s="5"/>
      <c r="R686" s="26"/>
      <c r="S686" s="27"/>
    </row>
    <row r="687" spans="1:19" x14ac:dyDescent="0.3">
      <c r="A687">
        <v>200010076</v>
      </c>
      <c r="C687" s="22"/>
      <c r="G687" s="7"/>
      <c r="K687" s="7"/>
      <c r="M687" s="8"/>
      <c r="N687" s="8"/>
      <c r="P687" s="8"/>
      <c r="Q687" s="5"/>
      <c r="R687" s="26"/>
      <c r="S687" s="27"/>
    </row>
    <row r="688" spans="1:19" x14ac:dyDescent="0.3">
      <c r="A688">
        <v>200010076</v>
      </c>
      <c r="C688" s="22"/>
      <c r="G688" s="7"/>
      <c r="K688" s="7"/>
      <c r="M688" s="8"/>
      <c r="N688" s="8"/>
      <c r="P688" s="8"/>
      <c r="Q688" s="5"/>
      <c r="R688" s="26"/>
      <c r="S688" s="27"/>
    </row>
    <row r="689" spans="1:19" x14ac:dyDescent="0.3">
      <c r="A689">
        <v>200010076</v>
      </c>
      <c r="C689" s="22"/>
      <c r="G689" s="7"/>
      <c r="K689" s="7"/>
      <c r="M689" s="8"/>
      <c r="N689" s="8"/>
      <c r="P689" s="8"/>
      <c r="Q689" s="5"/>
      <c r="R689" s="26"/>
      <c r="S689" s="27"/>
    </row>
    <row r="690" spans="1:19" x14ac:dyDescent="0.3">
      <c r="A690">
        <v>200010076</v>
      </c>
      <c r="C690" s="22"/>
      <c r="G690" s="7"/>
      <c r="K690" s="7"/>
      <c r="M690" s="8"/>
      <c r="N690" s="8"/>
      <c r="P690" s="8"/>
      <c r="Q690" s="5"/>
      <c r="R690" s="26"/>
      <c r="S690" s="27"/>
    </row>
    <row r="691" spans="1:19" x14ac:dyDescent="0.3">
      <c r="A691">
        <v>200010076</v>
      </c>
      <c r="C691" s="22"/>
      <c r="G691" s="7"/>
      <c r="K691" s="7"/>
      <c r="M691" s="8"/>
      <c r="N691" s="8"/>
      <c r="P691" s="8"/>
      <c r="Q691" s="5"/>
      <c r="R691" s="26"/>
      <c r="S691" s="27"/>
    </row>
    <row r="692" spans="1:19" x14ac:dyDescent="0.3">
      <c r="A692">
        <v>200010076</v>
      </c>
      <c r="C692" s="22"/>
      <c r="G692" s="7"/>
      <c r="K692" s="7"/>
      <c r="M692" s="8"/>
      <c r="N692" s="8"/>
      <c r="P692" s="8"/>
      <c r="Q692" s="5"/>
      <c r="R692" s="26"/>
      <c r="S692" s="27"/>
    </row>
    <row r="693" spans="1:19" x14ac:dyDescent="0.3">
      <c r="A693">
        <v>200010076</v>
      </c>
      <c r="C693" s="22"/>
      <c r="G693" s="7"/>
      <c r="K693" s="7"/>
      <c r="M693" s="8"/>
      <c r="N693" s="8"/>
      <c r="P693" s="8"/>
      <c r="Q693" s="5"/>
      <c r="R693" s="26"/>
      <c r="S693" s="27"/>
    </row>
    <row r="694" spans="1:19" x14ac:dyDescent="0.3">
      <c r="A694">
        <v>200010076</v>
      </c>
      <c r="C694" s="22"/>
      <c r="G694" s="7"/>
      <c r="K694" s="7"/>
      <c r="M694" s="8"/>
      <c r="N694" s="8"/>
      <c r="P694" s="8"/>
      <c r="Q694" s="5"/>
      <c r="R694" s="26"/>
      <c r="S694" s="27"/>
    </row>
    <row r="695" spans="1:19" x14ac:dyDescent="0.3">
      <c r="A695">
        <v>200010076</v>
      </c>
      <c r="C695" s="22"/>
      <c r="G695" s="7"/>
      <c r="K695" s="7"/>
      <c r="M695" s="8"/>
      <c r="N695" s="8"/>
      <c r="P695" s="8"/>
      <c r="Q695" s="5"/>
      <c r="R695" s="26"/>
      <c r="S695" s="27"/>
    </row>
    <row r="696" spans="1:19" x14ac:dyDescent="0.3">
      <c r="A696">
        <v>200010076</v>
      </c>
      <c r="C696" s="22"/>
      <c r="G696" s="7"/>
      <c r="K696" s="7"/>
      <c r="M696" s="8"/>
      <c r="N696" s="8"/>
      <c r="P696" s="8"/>
      <c r="Q696" s="5"/>
      <c r="R696" s="26"/>
      <c r="S696" s="27"/>
    </row>
    <row r="697" spans="1:19" x14ac:dyDescent="0.3">
      <c r="A697">
        <v>200010076</v>
      </c>
      <c r="C697" s="22"/>
      <c r="G697" s="7"/>
      <c r="K697" s="7"/>
      <c r="M697" s="8"/>
      <c r="N697" s="8"/>
      <c r="P697" s="8"/>
      <c r="Q697" s="5"/>
      <c r="R697" s="26"/>
      <c r="S697" s="27"/>
    </row>
    <row r="698" spans="1:19" x14ac:dyDescent="0.3">
      <c r="A698">
        <v>200010076</v>
      </c>
      <c r="C698" s="22"/>
      <c r="G698" s="7"/>
      <c r="K698" s="7"/>
      <c r="M698" s="8"/>
      <c r="N698" s="8"/>
      <c r="P698" s="8"/>
      <c r="Q698" s="5"/>
      <c r="R698" s="26"/>
      <c r="S698" s="27"/>
    </row>
    <row r="699" spans="1:19" x14ac:dyDescent="0.3">
      <c r="A699">
        <v>200010076</v>
      </c>
      <c r="C699" s="22"/>
      <c r="G699" s="7"/>
      <c r="K699" s="7"/>
      <c r="M699" s="8"/>
      <c r="N699" s="8"/>
      <c r="P699" s="8"/>
      <c r="Q699" s="5"/>
      <c r="R699" s="26"/>
      <c r="S699" s="27"/>
    </row>
    <row r="700" spans="1:19" x14ac:dyDescent="0.3">
      <c r="A700">
        <v>200010076</v>
      </c>
      <c r="C700" s="22"/>
      <c r="G700" s="7"/>
      <c r="K700" s="7"/>
      <c r="M700" s="8"/>
      <c r="N700" s="8"/>
      <c r="P700" s="8"/>
      <c r="Q700" s="5"/>
      <c r="R700" s="26"/>
      <c r="S700" s="27"/>
    </row>
    <row r="701" spans="1:19" x14ac:dyDescent="0.3">
      <c r="A701">
        <v>200010076</v>
      </c>
      <c r="C701" s="22"/>
      <c r="G701" s="7"/>
      <c r="K701" s="7"/>
      <c r="M701" s="8"/>
      <c r="N701" s="8"/>
      <c r="P701" s="8"/>
      <c r="Q701" s="5"/>
      <c r="R701" s="26"/>
      <c r="S701" s="27"/>
    </row>
    <row r="702" spans="1:19" x14ac:dyDescent="0.3">
      <c r="A702">
        <v>200010076</v>
      </c>
      <c r="C702" s="22"/>
      <c r="G702" s="7"/>
      <c r="K702" s="7"/>
      <c r="M702" s="8"/>
      <c r="N702" s="8"/>
      <c r="P702" s="8"/>
      <c r="Q702" s="5"/>
      <c r="R702" s="26"/>
      <c r="S702" s="27"/>
    </row>
    <row r="703" spans="1:19" x14ac:dyDescent="0.3">
      <c r="A703">
        <v>200010076</v>
      </c>
      <c r="C703" s="22"/>
      <c r="G703" s="7"/>
      <c r="K703" s="7"/>
      <c r="M703" s="8"/>
      <c r="N703" s="8"/>
      <c r="P703" s="8"/>
      <c r="Q703" s="5"/>
      <c r="R703" s="26"/>
      <c r="S703" s="27"/>
    </row>
    <row r="704" spans="1:19" x14ac:dyDescent="0.3">
      <c r="A704">
        <v>200010076</v>
      </c>
      <c r="C704" s="22"/>
      <c r="G704" s="7"/>
      <c r="K704" s="7"/>
      <c r="M704" s="8"/>
      <c r="N704" s="8"/>
      <c r="P704" s="8"/>
      <c r="Q704" s="5"/>
      <c r="R704" s="26"/>
      <c r="S704" s="27"/>
    </row>
    <row r="705" spans="1:19" x14ac:dyDescent="0.3">
      <c r="A705">
        <v>200010076</v>
      </c>
      <c r="C705" s="22"/>
      <c r="G705" s="7"/>
      <c r="K705" s="7"/>
      <c r="M705" s="8"/>
      <c r="N705" s="8"/>
      <c r="P705" s="8"/>
      <c r="Q705" s="5"/>
      <c r="R705" s="26"/>
      <c r="S705" s="27"/>
    </row>
    <row r="706" spans="1:19" x14ac:dyDescent="0.3">
      <c r="A706">
        <v>200010076</v>
      </c>
      <c r="C706" s="22"/>
      <c r="G706" s="7"/>
      <c r="K706" s="7"/>
      <c r="M706" s="8"/>
      <c r="N706" s="8"/>
      <c r="P706" s="8"/>
      <c r="Q706" s="5"/>
      <c r="R706" s="26"/>
      <c r="S706" s="27"/>
    </row>
    <row r="707" spans="1:19" x14ac:dyDescent="0.3">
      <c r="A707">
        <v>200010076</v>
      </c>
      <c r="C707" s="22"/>
      <c r="G707" s="7"/>
      <c r="K707" s="7"/>
      <c r="M707" s="8"/>
      <c r="N707" s="8"/>
      <c r="P707" s="8"/>
      <c r="Q707" s="5"/>
      <c r="R707" s="26"/>
      <c r="S707" s="27"/>
    </row>
    <row r="708" spans="1:19" x14ac:dyDescent="0.3">
      <c r="A708">
        <v>200010076</v>
      </c>
      <c r="C708" s="22"/>
      <c r="G708" s="7"/>
      <c r="K708" s="7"/>
      <c r="M708" s="8"/>
      <c r="N708" s="8"/>
      <c r="P708" s="8"/>
      <c r="Q708" s="5"/>
      <c r="R708" s="26"/>
      <c r="S708" s="27"/>
    </row>
    <row r="709" spans="1:19" x14ac:dyDescent="0.3">
      <c r="A709">
        <v>200010076</v>
      </c>
      <c r="C709" s="22"/>
      <c r="G709" s="7"/>
      <c r="K709" s="7"/>
      <c r="M709" s="8"/>
      <c r="N709" s="8"/>
      <c r="P709" s="8"/>
      <c r="Q709" s="5"/>
      <c r="R709" s="26"/>
      <c r="S709" s="27"/>
    </row>
    <row r="710" spans="1:19" x14ac:dyDescent="0.3">
      <c r="A710">
        <v>200010076</v>
      </c>
      <c r="C710" s="22"/>
      <c r="G710" s="7"/>
      <c r="K710" s="7"/>
      <c r="M710" s="8"/>
      <c r="N710" s="8"/>
      <c r="P710" s="8"/>
      <c r="Q710" s="5"/>
      <c r="R710" s="26"/>
      <c r="S710" s="27"/>
    </row>
    <row r="711" spans="1:19" x14ac:dyDescent="0.3">
      <c r="A711">
        <v>200010076</v>
      </c>
      <c r="C711" s="22"/>
      <c r="G711" s="7"/>
      <c r="K711" s="7"/>
      <c r="M711" s="8"/>
      <c r="N711" s="8"/>
      <c r="P711" s="8"/>
      <c r="Q711" s="5"/>
      <c r="R711" s="26"/>
      <c r="S711" s="27"/>
    </row>
    <row r="712" spans="1:19" x14ac:dyDescent="0.3">
      <c r="A712">
        <v>200010076</v>
      </c>
      <c r="C712" s="22"/>
      <c r="G712" s="7"/>
      <c r="K712" s="7"/>
      <c r="M712" s="8"/>
      <c r="N712" s="8"/>
      <c r="P712" s="8"/>
      <c r="Q712" s="5"/>
      <c r="R712" s="26"/>
      <c r="S712" s="27"/>
    </row>
    <row r="713" spans="1:19" x14ac:dyDescent="0.3">
      <c r="A713">
        <v>200010076</v>
      </c>
      <c r="C713" s="22"/>
      <c r="G713" s="7"/>
      <c r="K713" s="7"/>
      <c r="M713" s="8"/>
      <c r="N713" s="8"/>
      <c r="P713" s="8"/>
      <c r="Q713" s="5"/>
      <c r="R713" s="26"/>
      <c r="S713" s="27"/>
    </row>
    <row r="714" spans="1:19" x14ac:dyDescent="0.3">
      <c r="A714">
        <v>200010076</v>
      </c>
      <c r="C714" s="22"/>
      <c r="G714" s="7"/>
      <c r="K714" s="7"/>
      <c r="M714" s="8"/>
      <c r="N714" s="8"/>
      <c r="P714" s="8"/>
      <c r="Q714" s="5"/>
      <c r="R714" s="26"/>
      <c r="S714" s="27"/>
    </row>
    <row r="715" spans="1:19" x14ac:dyDescent="0.3">
      <c r="A715">
        <v>200010076</v>
      </c>
      <c r="C715" s="22"/>
      <c r="G715" s="7"/>
      <c r="K715" s="7"/>
      <c r="M715" s="8"/>
      <c r="N715" s="8"/>
      <c r="P715" s="8"/>
      <c r="Q715" s="5"/>
      <c r="R715" s="26"/>
      <c r="S715" s="27"/>
    </row>
    <row r="716" spans="1:19" x14ac:dyDescent="0.3">
      <c r="A716">
        <v>200010076</v>
      </c>
      <c r="C716" s="22"/>
      <c r="G716" s="7"/>
      <c r="K716" s="7"/>
      <c r="M716" s="8"/>
      <c r="N716" s="8"/>
      <c r="P716" s="8"/>
      <c r="Q716" s="5"/>
      <c r="R716" s="26"/>
      <c r="S716" s="27"/>
    </row>
    <row r="717" spans="1:19" x14ac:dyDescent="0.3">
      <c r="A717">
        <v>200010076</v>
      </c>
      <c r="C717" s="22"/>
      <c r="G717" s="7"/>
      <c r="K717" s="7"/>
      <c r="M717" s="8"/>
      <c r="N717" s="8"/>
      <c r="P717" s="8"/>
      <c r="Q717" s="5"/>
      <c r="R717" s="26"/>
      <c r="S717" s="27"/>
    </row>
    <row r="718" spans="1:19" x14ac:dyDescent="0.3">
      <c r="A718">
        <v>200010076</v>
      </c>
      <c r="C718" s="22"/>
      <c r="G718" s="7"/>
      <c r="K718" s="7"/>
      <c r="M718" s="8"/>
      <c r="N718" s="8"/>
      <c r="P718" s="8"/>
      <c r="Q718" s="5"/>
      <c r="R718" s="26"/>
      <c r="S718" s="27"/>
    </row>
    <row r="719" spans="1:19" x14ac:dyDescent="0.3">
      <c r="A719">
        <v>200010076</v>
      </c>
      <c r="C719" s="22"/>
      <c r="G719" s="7"/>
      <c r="K719" s="7"/>
      <c r="M719" s="8"/>
      <c r="N719" s="8"/>
      <c r="P719" s="8"/>
      <c r="Q719" s="5"/>
      <c r="R719" s="26"/>
      <c r="S719" s="27"/>
    </row>
    <row r="720" spans="1:19" x14ac:dyDescent="0.3">
      <c r="A720">
        <v>200010076</v>
      </c>
      <c r="C720" s="22"/>
      <c r="G720" s="7"/>
      <c r="K720" s="7"/>
      <c r="M720" s="8"/>
      <c r="N720" s="8"/>
      <c r="P720" s="8"/>
      <c r="Q720" s="5"/>
      <c r="R720" s="26"/>
      <c r="S720" s="27"/>
    </row>
    <row r="721" spans="1:19" x14ac:dyDescent="0.3">
      <c r="A721">
        <v>200010076</v>
      </c>
      <c r="C721" s="22"/>
      <c r="G721" s="7"/>
      <c r="K721" s="7"/>
      <c r="M721" s="8"/>
      <c r="N721" s="8"/>
      <c r="P721" s="8"/>
      <c r="Q721" s="5"/>
      <c r="R721" s="26"/>
      <c r="S721" s="27"/>
    </row>
    <row r="722" spans="1:19" x14ac:dyDescent="0.3">
      <c r="A722">
        <v>200010076</v>
      </c>
      <c r="C722" s="22"/>
      <c r="G722" s="7"/>
      <c r="K722" s="7"/>
      <c r="M722" s="8"/>
      <c r="N722" s="8"/>
      <c r="P722" s="8"/>
      <c r="Q722" s="5"/>
      <c r="R722" s="26"/>
      <c r="S722" s="27"/>
    </row>
    <row r="723" spans="1:19" x14ac:dyDescent="0.3">
      <c r="A723">
        <v>200010076</v>
      </c>
      <c r="C723" s="22"/>
      <c r="G723" s="7"/>
      <c r="K723" s="7"/>
      <c r="M723" s="8"/>
      <c r="N723" s="8"/>
      <c r="P723" s="8"/>
      <c r="Q723" s="5"/>
      <c r="R723" s="26"/>
      <c r="S723" s="27"/>
    </row>
    <row r="724" spans="1:19" x14ac:dyDescent="0.3">
      <c r="A724">
        <v>200010076</v>
      </c>
      <c r="C724" s="22"/>
      <c r="G724" s="7"/>
      <c r="K724" s="7"/>
      <c r="M724" s="8"/>
      <c r="N724" s="8"/>
      <c r="P724" s="8"/>
      <c r="Q724" s="5"/>
      <c r="R724" s="26"/>
      <c r="S724" s="27"/>
    </row>
    <row r="725" spans="1:19" x14ac:dyDescent="0.3">
      <c r="A725">
        <v>200010076</v>
      </c>
      <c r="C725" s="22"/>
      <c r="G725" s="7"/>
      <c r="K725" s="7"/>
      <c r="M725" s="8"/>
      <c r="N725" s="8"/>
      <c r="P725" s="8"/>
      <c r="Q725" s="5"/>
      <c r="R725" s="26"/>
      <c r="S725" s="27"/>
    </row>
    <row r="726" spans="1:19" x14ac:dyDescent="0.3">
      <c r="A726">
        <v>200010076</v>
      </c>
      <c r="C726" s="22"/>
      <c r="G726" s="7"/>
      <c r="K726" s="7"/>
      <c r="M726" s="8"/>
      <c r="N726" s="8"/>
      <c r="P726" s="8"/>
      <c r="Q726" s="5"/>
      <c r="R726" s="26"/>
      <c r="S726" s="27"/>
    </row>
    <row r="727" spans="1:19" x14ac:dyDescent="0.3">
      <c r="A727">
        <v>200010076</v>
      </c>
      <c r="C727" s="22"/>
      <c r="G727" s="7"/>
      <c r="K727" s="7"/>
      <c r="M727" s="8"/>
      <c r="N727" s="8"/>
      <c r="P727" s="8"/>
      <c r="Q727" s="5"/>
      <c r="R727" s="26"/>
      <c r="S727" s="27"/>
    </row>
    <row r="728" spans="1:19" x14ac:dyDescent="0.3">
      <c r="A728">
        <v>200010076</v>
      </c>
      <c r="C728" s="22"/>
      <c r="G728" s="7"/>
      <c r="K728" s="7"/>
      <c r="M728" s="8"/>
      <c r="N728" s="8"/>
      <c r="P728" s="8"/>
      <c r="Q728" s="5"/>
      <c r="R728" s="26"/>
      <c r="S728" s="27"/>
    </row>
    <row r="729" spans="1:19" x14ac:dyDescent="0.3">
      <c r="A729">
        <v>200010076</v>
      </c>
      <c r="C729" s="22"/>
      <c r="G729" s="7"/>
      <c r="K729" s="7"/>
      <c r="M729" s="8"/>
      <c r="N729" s="8"/>
      <c r="P729" s="8"/>
      <c r="Q729" s="5"/>
      <c r="R729" s="26"/>
      <c r="S729" s="27"/>
    </row>
    <row r="730" spans="1:19" x14ac:dyDescent="0.3">
      <c r="A730">
        <v>200010076</v>
      </c>
      <c r="C730" s="22"/>
      <c r="G730" s="7"/>
      <c r="K730" s="7"/>
      <c r="M730" s="8"/>
      <c r="N730" s="8"/>
      <c r="P730" s="8"/>
      <c r="Q730" s="5"/>
      <c r="R730" s="26"/>
      <c r="S730" s="27"/>
    </row>
    <row r="731" spans="1:19" x14ac:dyDescent="0.3">
      <c r="A731">
        <v>200010076</v>
      </c>
      <c r="C731" s="22"/>
      <c r="G731" s="7"/>
      <c r="K731" s="7"/>
      <c r="M731" s="8"/>
      <c r="N731" s="8"/>
      <c r="P731" s="8"/>
      <c r="Q731" s="5"/>
      <c r="R731" s="26"/>
      <c r="S731" s="27"/>
    </row>
    <row r="732" spans="1:19" x14ac:dyDescent="0.3">
      <c r="A732">
        <v>200010076</v>
      </c>
      <c r="C732" s="22"/>
      <c r="G732" s="7"/>
      <c r="K732" s="7"/>
      <c r="M732" s="8"/>
      <c r="N732" s="8"/>
      <c r="P732" s="8"/>
      <c r="Q732" s="5"/>
      <c r="R732" s="26"/>
      <c r="S732" s="27"/>
    </row>
    <row r="733" spans="1:19" x14ac:dyDescent="0.3">
      <c r="A733">
        <v>200010076</v>
      </c>
      <c r="C733" s="22"/>
      <c r="G733" s="7"/>
      <c r="K733" s="7"/>
      <c r="M733" s="8"/>
      <c r="N733" s="8"/>
      <c r="P733" s="8"/>
      <c r="Q733" s="5"/>
      <c r="R733" s="26"/>
      <c r="S733" s="27"/>
    </row>
    <row r="734" spans="1:19" x14ac:dyDescent="0.3">
      <c r="A734">
        <v>200010076</v>
      </c>
      <c r="C734" s="22"/>
      <c r="G734" s="7"/>
      <c r="K734" s="7"/>
      <c r="M734" s="8"/>
      <c r="N734" s="8"/>
      <c r="P734" s="8"/>
      <c r="Q734" s="5"/>
      <c r="R734" s="26"/>
      <c r="S734" s="27"/>
    </row>
    <row r="735" spans="1:19" x14ac:dyDescent="0.3">
      <c r="A735">
        <v>200010076</v>
      </c>
      <c r="C735" s="22"/>
      <c r="G735" s="7"/>
      <c r="K735" s="7"/>
      <c r="M735" s="8"/>
      <c r="N735" s="8"/>
      <c r="P735" s="8"/>
      <c r="Q735" s="5"/>
      <c r="R735" s="26"/>
      <c r="S735" s="27"/>
    </row>
    <row r="736" spans="1:19" x14ac:dyDescent="0.3">
      <c r="A736">
        <v>200010076</v>
      </c>
      <c r="C736" s="22"/>
      <c r="G736" s="7"/>
      <c r="K736" s="7"/>
      <c r="M736" s="8"/>
      <c r="N736" s="8"/>
      <c r="P736" s="8"/>
      <c r="Q736" s="5"/>
      <c r="R736" s="26"/>
      <c r="S736" s="27"/>
    </row>
    <row r="737" spans="1:19" x14ac:dyDescent="0.3">
      <c r="A737">
        <v>200010076</v>
      </c>
      <c r="C737" s="22"/>
      <c r="G737" s="7"/>
      <c r="K737" s="7"/>
      <c r="M737" s="8"/>
      <c r="N737" s="8"/>
      <c r="P737" s="8"/>
      <c r="Q737" s="5"/>
      <c r="R737" s="26"/>
      <c r="S737" s="27"/>
    </row>
    <row r="738" spans="1:19" x14ac:dyDescent="0.3">
      <c r="A738">
        <v>200010076</v>
      </c>
      <c r="C738" s="22"/>
      <c r="G738" s="7"/>
      <c r="K738" s="7"/>
      <c r="M738" s="8"/>
      <c r="N738" s="8"/>
      <c r="P738" s="8"/>
      <c r="Q738" s="5"/>
      <c r="R738" s="26"/>
      <c r="S738" s="27"/>
    </row>
    <row r="739" spans="1:19" x14ac:dyDescent="0.3">
      <c r="A739">
        <v>200010076</v>
      </c>
      <c r="C739" s="22"/>
      <c r="G739" s="7"/>
      <c r="K739" s="7"/>
      <c r="M739" s="8"/>
      <c r="N739" s="8"/>
      <c r="P739" s="8"/>
      <c r="Q739" s="5"/>
      <c r="R739" s="26"/>
      <c r="S739" s="27"/>
    </row>
    <row r="740" spans="1:19" x14ac:dyDescent="0.3">
      <c r="A740">
        <v>200010076</v>
      </c>
      <c r="C740" s="22"/>
      <c r="G740" s="7"/>
      <c r="K740" s="7"/>
      <c r="M740" s="8"/>
      <c r="N740" s="8"/>
      <c r="P740" s="8"/>
      <c r="Q740" s="5"/>
      <c r="R740" s="26"/>
      <c r="S740" s="27"/>
    </row>
    <row r="741" spans="1:19" x14ac:dyDescent="0.3">
      <c r="A741">
        <v>200010076</v>
      </c>
      <c r="C741" s="22"/>
      <c r="G741" s="7"/>
      <c r="K741" s="7"/>
      <c r="M741" s="8"/>
      <c r="N741" s="8"/>
      <c r="P741" s="8"/>
      <c r="Q741" s="5"/>
      <c r="R741" s="26"/>
      <c r="S741" s="27"/>
    </row>
    <row r="742" spans="1:19" x14ac:dyDescent="0.3">
      <c r="A742">
        <v>200010076</v>
      </c>
      <c r="C742" s="22"/>
      <c r="G742" s="7"/>
      <c r="K742" s="7"/>
      <c r="M742" s="8"/>
      <c r="N742" s="8"/>
      <c r="P742" s="8"/>
      <c r="Q742" s="5"/>
      <c r="R742" s="26"/>
      <c r="S742" s="27"/>
    </row>
    <row r="743" spans="1:19" x14ac:dyDescent="0.3">
      <c r="A743">
        <v>200010076</v>
      </c>
      <c r="C743" s="22"/>
      <c r="G743" s="7"/>
      <c r="K743" s="7"/>
      <c r="M743" s="8"/>
      <c r="N743" s="8"/>
      <c r="P743" s="8"/>
      <c r="Q743" s="5"/>
      <c r="R743" s="26"/>
      <c r="S743" s="27"/>
    </row>
    <row r="744" spans="1:19" x14ac:dyDescent="0.3">
      <c r="A744">
        <v>200010076</v>
      </c>
      <c r="C744" s="22"/>
      <c r="G744" s="7"/>
      <c r="K744" s="7"/>
      <c r="M744" s="8"/>
      <c r="N744" s="8"/>
      <c r="P744" s="8"/>
      <c r="Q744" s="5"/>
      <c r="R744" s="26"/>
      <c r="S744" s="27"/>
    </row>
    <row r="745" spans="1:19" x14ac:dyDescent="0.3">
      <c r="A745" s="29">
        <v>200010076</v>
      </c>
      <c r="C745" s="22"/>
      <c r="D745" s="36"/>
      <c r="E745" s="29"/>
      <c r="F745" s="29"/>
      <c r="G745" s="30"/>
      <c r="H745" s="29"/>
      <c r="I745" s="29"/>
      <c r="J745" s="29"/>
      <c r="K745" s="30"/>
      <c r="L745" s="29"/>
      <c r="M745" s="31"/>
      <c r="N745" s="31"/>
      <c r="O745" s="29"/>
      <c r="P745" s="31"/>
      <c r="Q745" s="32"/>
      <c r="R745" s="33"/>
      <c r="S745" s="34"/>
    </row>
    <row r="746" spans="1:19" x14ac:dyDescent="0.3">
      <c r="A746">
        <v>200010076</v>
      </c>
      <c r="C746" s="22"/>
      <c r="G746" s="7"/>
      <c r="K746" s="7"/>
      <c r="M746" s="8"/>
      <c r="N746" s="8"/>
      <c r="P746" s="8"/>
      <c r="Q746" s="5"/>
      <c r="R746" s="26"/>
      <c r="S746" s="27"/>
    </row>
    <row r="747" spans="1:19" x14ac:dyDescent="0.3">
      <c r="A747">
        <v>200010076</v>
      </c>
      <c r="C747" s="22"/>
      <c r="G747" s="7"/>
      <c r="K747" s="7"/>
      <c r="M747" s="8"/>
      <c r="N747" s="8"/>
      <c r="P747" s="8"/>
      <c r="Q747" s="5"/>
      <c r="R747" s="26"/>
      <c r="S747" s="27"/>
    </row>
    <row r="748" spans="1:19" x14ac:dyDescent="0.3">
      <c r="A748">
        <v>200010076</v>
      </c>
      <c r="C748" s="22"/>
      <c r="G748" s="7"/>
      <c r="K748" s="7"/>
      <c r="M748" s="8"/>
      <c r="N748" s="8"/>
      <c r="P748" s="8"/>
      <c r="Q748" s="5"/>
      <c r="R748" s="26"/>
      <c r="S748" s="27"/>
    </row>
    <row r="749" spans="1:19" x14ac:dyDescent="0.3">
      <c r="A749">
        <v>200010076</v>
      </c>
      <c r="C749" s="22"/>
      <c r="G749" s="7"/>
      <c r="K749" s="7"/>
      <c r="M749" s="8"/>
      <c r="N749" s="8"/>
      <c r="P749" s="8"/>
      <c r="Q749" s="5"/>
      <c r="R749" s="26"/>
      <c r="S749" s="27"/>
    </row>
    <row r="750" spans="1:19" x14ac:dyDescent="0.3">
      <c r="A750">
        <v>200010076</v>
      </c>
      <c r="C750" s="22"/>
      <c r="G750" s="7"/>
      <c r="K750" s="7"/>
      <c r="M750" s="8"/>
      <c r="N750" s="8"/>
      <c r="P750" s="8"/>
      <c r="Q750" s="5"/>
      <c r="R750" s="26"/>
      <c r="S750" s="27"/>
    </row>
    <row r="751" spans="1:19" x14ac:dyDescent="0.3">
      <c r="A751">
        <v>200010076</v>
      </c>
      <c r="C751" s="22"/>
      <c r="G751" s="7"/>
      <c r="K751" s="7"/>
      <c r="M751" s="8"/>
      <c r="N751" s="8"/>
      <c r="P751" s="8"/>
      <c r="Q751" s="5"/>
      <c r="R751" s="26"/>
      <c r="S751" s="27"/>
    </row>
    <row r="752" spans="1:19" x14ac:dyDescent="0.3">
      <c r="A752">
        <v>200010076</v>
      </c>
      <c r="C752" s="22"/>
      <c r="G752" s="7"/>
      <c r="K752" s="7"/>
      <c r="M752" s="8"/>
      <c r="N752" s="8"/>
      <c r="P752" s="8"/>
      <c r="Q752" s="5"/>
      <c r="R752" s="26"/>
      <c r="S752" s="27"/>
    </row>
    <row r="753" spans="1:19" x14ac:dyDescent="0.3">
      <c r="A753">
        <v>200010076</v>
      </c>
      <c r="C753" s="22"/>
      <c r="G753" s="7"/>
      <c r="K753" s="7"/>
      <c r="M753" s="8"/>
      <c r="N753" s="8"/>
      <c r="P753" s="8"/>
      <c r="Q753" s="5"/>
      <c r="R753" s="26"/>
      <c r="S753" s="27"/>
    </row>
    <row r="754" spans="1:19" x14ac:dyDescent="0.3">
      <c r="A754">
        <v>200010076</v>
      </c>
      <c r="C754" s="22"/>
      <c r="G754" s="7"/>
      <c r="K754" s="7"/>
      <c r="M754" s="8"/>
      <c r="N754" s="8"/>
      <c r="P754" s="8"/>
      <c r="Q754" s="5"/>
      <c r="R754" s="26"/>
      <c r="S754" s="27"/>
    </row>
    <row r="755" spans="1:19" x14ac:dyDescent="0.3">
      <c r="A755">
        <v>200010076</v>
      </c>
      <c r="C755" s="22"/>
      <c r="G755" s="7"/>
      <c r="K755" s="7"/>
      <c r="M755" s="8"/>
      <c r="N755" s="8"/>
      <c r="P755" s="8"/>
      <c r="Q755" s="5"/>
      <c r="R755" s="26"/>
      <c r="S755" s="27"/>
    </row>
    <row r="756" spans="1:19" x14ac:dyDescent="0.3">
      <c r="A756">
        <v>200010076</v>
      </c>
      <c r="C756" s="22"/>
      <c r="G756" s="7"/>
      <c r="K756" s="7"/>
      <c r="M756" s="8"/>
      <c r="N756" s="8"/>
      <c r="P756" s="8"/>
      <c r="Q756" s="5"/>
      <c r="R756" s="26"/>
      <c r="S756" s="27"/>
    </row>
    <row r="757" spans="1:19" x14ac:dyDescent="0.3">
      <c r="A757">
        <v>200010076</v>
      </c>
      <c r="C757" s="22"/>
      <c r="G757" s="7"/>
      <c r="K757" s="7"/>
      <c r="M757" s="8"/>
      <c r="N757" s="8"/>
      <c r="P757" s="8"/>
      <c r="Q757" s="5"/>
      <c r="R757" s="26"/>
      <c r="S757" s="27"/>
    </row>
    <row r="758" spans="1:19" x14ac:dyDescent="0.3">
      <c r="A758">
        <v>200010076</v>
      </c>
      <c r="C758" s="22"/>
      <c r="G758" s="7"/>
      <c r="K758" s="7"/>
      <c r="M758" s="8"/>
      <c r="N758" s="8"/>
      <c r="P758" s="8"/>
      <c r="Q758" s="5"/>
      <c r="R758" s="26"/>
      <c r="S758" s="27"/>
    </row>
    <row r="759" spans="1:19" x14ac:dyDescent="0.3">
      <c r="A759">
        <v>200010076</v>
      </c>
      <c r="C759" s="22"/>
      <c r="G759" s="7"/>
      <c r="K759" s="7"/>
      <c r="M759" s="8"/>
      <c r="N759" s="8"/>
      <c r="P759" s="8"/>
      <c r="Q759" s="5"/>
      <c r="R759" s="26"/>
      <c r="S759" s="27"/>
    </row>
    <row r="760" spans="1:19" x14ac:dyDescent="0.3">
      <c r="A760">
        <v>200010076</v>
      </c>
      <c r="C760" s="22"/>
      <c r="G760" s="7"/>
      <c r="K760" s="7"/>
      <c r="M760" s="8"/>
      <c r="N760" s="8"/>
      <c r="P760" s="8"/>
      <c r="Q760" s="5"/>
      <c r="R760" s="26"/>
      <c r="S760" s="27"/>
    </row>
    <row r="761" spans="1:19" x14ac:dyDescent="0.3">
      <c r="A761">
        <v>200010076</v>
      </c>
      <c r="C761" s="22"/>
      <c r="G761" s="7"/>
      <c r="K761" s="7"/>
      <c r="M761" s="8"/>
      <c r="N761" s="8"/>
      <c r="P761" s="8"/>
      <c r="Q761" s="5"/>
      <c r="R761" s="26"/>
      <c r="S761" s="27"/>
    </row>
    <row r="762" spans="1:19" x14ac:dyDescent="0.3">
      <c r="A762">
        <v>200010076</v>
      </c>
      <c r="C762" s="22"/>
      <c r="G762" s="7"/>
      <c r="K762" s="7"/>
      <c r="M762" s="8"/>
      <c r="N762" s="8"/>
      <c r="P762" s="8"/>
      <c r="Q762" s="5"/>
      <c r="R762" s="26"/>
      <c r="S762" s="27"/>
    </row>
    <row r="763" spans="1:19" x14ac:dyDescent="0.3">
      <c r="A763">
        <v>200010076</v>
      </c>
      <c r="C763" s="22"/>
      <c r="G763" s="7"/>
      <c r="K763" s="7"/>
      <c r="M763" s="8"/>
      <c r="N763" s="8"/>
      <c r="P763" s="8"/>
      <c r="Q763" s="5"/>
      <c r="R763" s="26"/>
      <c r="S763" s="27"/>
    </row>
    <row r="764" spans="1:19" x14ac:dyDescent="0.3">
      <c r="A764">
        <v>200010076</v>
      </c>
      <c r="C764" s="22"/>
      <c r="G764" s="7"/>
      <c r="K764" s="7"/>
      <c r="M764" s="8"/>
      <c r="N764" s="8"/>
      <c r="P764" s="8"/>
      <c r="Q764" s="5"/>
      <c r="R764" s="26"/>
      <c r="S764" s="27"/>
    </row>
    <row r="765" spans="1:19" x14ac:dyDescent="0.3">
      <c r="A765">
        <v>200010076</v>
      </c>
      <c r="C765" s="22"/>
      <c r="G765" s="7"/>
      <c r="K765" s="7"/>
      <c r="M765" s="8"/>
      <c r="N765" s="8"/>
      <c r="P765" s="8"/>
      <c r="Q765" s="5"/>
      <c r="R765" s="26"/>
      <c r="S765" s="27"/>
    </row>
    <row r="766" spans="1:19" x14ac:dyDescent="0.3">
      <c r="A766">
        <v>200010076</v>
      </c>
      <c r="C766" s="22"/>
      <c r="G766" s="7"/>
      <c r="K766" s="7"/>
      <c r="M766" s="8"/>
      <c r="N766" s="8"/>
      <c r="P766" s="8"/>
      <c r="Q766" s="5"/>
      <c r="R766" s="26"/>
      <c r="S766" s="27"/>
    </row>
    <row r="767" spans="1:19" x14ac:dyDescent="0.3">
      <c r="A767">
        <v>200010076</v>
      </c>
      <c r="C767" s="22"/>
      <c r="G767" s="7"/>
      <c r="K767" s="7"/>
      <c r="M767" s="8"/>
      <c r="N767" s="8"/>
      <c r="P767" s="8"/>
      <c r="Q767" s="5"/>
      <c r="R767" s="26"/>
      <c r="S767" s="27"/>
    </row>
    <row r="768" spans="1:19" x14ac:dyDescent="0.3">
      <c r="A768">
        <v>200010076</v>
      </c>
      <c r="C768" s="22"/>
      <c r="G768" s="7"/>
      <c r="K768" s="7"/>
      <c r="M768" s="8"/>
      <c r="N768" s="8"/>
      <c r="P768" s="8"/>
      <c r="Q768" s="5"/>
      <c r="R768" s="26"/>
      <c r="S768" s="27"/>
    </row>
    <row r="769" spans="1:19" x14ac:dyDescent="0.3">
      <c r="A769">
        <v>200010076</v>
      </c>
      <c r="C769" s="22"/>
      <c r="G769" s="7"/>
      <c r="K769" s="7"/>
      <c r="M769" s="8"/>
      <c r="N769" s="8"/>
      <c r="P769" s="8"/>
      <c r="Q769" s="5"/>
      <c r="R769" s="26"/>
      <c r="S769" s="27"/>
    </row>
    <row r="770" spans="1:19" x14ac:dyDescent="0.3">
      <c r="A770">
        <v>200010076</v>
      </c>
      <c r="C770" s="22"/>
      <c r="G770" s="7"/>
      <c r="K770" s="7"/>
      <c r="M770" s="8"/>
      <c r="N770" s="8"/>
      <c r="P770" s="8"/>
      <c r="Q770" s="5"/>
      <c r="R770" s="26"/>
      <c r="S770" s="27"/>
    </row>
    <row r="771" spans="1:19" x14ac:dyDescent="0.3">
      <c r="A771">
        <v>200010076</v>
      </c>
      <c r="C771" s="22"/>
      <c r="G771" s="7"/>
      <c r="K771" s="7"/>
      <c r="M771" s="8"/>
      <c r="N771" s="8"/>
      <c r="P771" s="8"/>
      <c r="Q771" s="5"/>
      <c r="R771" s="26"/>
      <c r="S771" s="27"/>
    </row>
    <row r="772" spans="1:19" x14ac:dyDescent="0.3">
      <c r="A772">
        <v>200010076</v>
      </c>
      <c r="C772" s="22"/>
      <c r="G772" s="7"/>
      <c r="K772" s="7"/>
      <c r="M772" s="8"/>
      <c r="N772" s="8"/>
      <c r="P772" s="8"/>
      <c r="Q772" s="5"/>
      <c r="R772" s="26"/>
      <c r="S772" s="27"/>
    </row>
    <row r="773" spans="1:19" x14ac:dyDescent="0.3">
      <c r="A773">
        <v>200010076</v>
      </c>
      <c r="C773" s="22"/>
      <c r="G773" s="7"/>
      <c r="K773" s="7"/>
      <c r="M773" s="8"/>
      <c r="N773" s="8"/>
      <c r="P773" s="8"/>
      <c r="Q773" s="5"/>
      <c r="R773" s="26"/>
      <c r="S773" s="27"/>
    </row>
    <row r="774" spans="1:19" x14ac:dyDescent="0.3">
      <c r="A774">
        <v>200010076</v>
      </c>
      <c r="C774" s="22"/>
      <c r="G774" s="7"/>
      <c r="K774" s="7"/>
      <c r="M774" s="8"/>
      <c r="N774" s="8"/>
      <c r="P774" s="8"/>
      <c r="Q774" s="5"/>
      <c r="R774" s="26"/>
      <c r="S774" s="27"/>
    </row>
    <row r="775" spans="1:19" x14ac:dyDescent="0.3">
      <c r="A775">
        <v>200010076</v>
      </c>
      <c r="C775" s="22"/>
      <c r="G775" s="7"/>
      <c r="K775" s="7"/>
      <c r="M775" s="8"/>
      <c r="N775" s="8"/>
      <c r="P775" s="8"/>
      <c r="Q775" s="5"/>
      <c r="R775" s="26"/>
      <c r="S775" s="27"/>
    </row>
    <row r="776" spans="1:19" x14ac:dyDescent="0.3">
      <c r="A776">
        <v>200010076</v>
      </c>
      <c r="C776" s="22"/>
      <c r="G776" s="7"/>
      <c r="K776" s="7"/>
      <c r="M776" s="8"/>
      <c r="N776" s="8"/>
      <c r="P776" s="8"/>
      <c r="Q776" s="5"/>
      <c r="R776" s="26"/>
      <c r="S776" s="27"/>
    </row>
    <row r="777" spans="1:19" x14ac:dyDescent="0.3">
      <c r="A777">
        <v>200010076</v>
      </c>
      <c r="C777" s="22"/>
      <c r="G777" s="7"/>
      <c r="K777" s="7"/>
      <c r="M777" s="8"/>
      <c r="N777" s="8"/>
      <c r="P777" s="8"/>
      <c r="Q777" s="5"/>
      <c r="R777" s="26"/>
      <c r="S777" s="27"/>
    </row>
    <row r="778" spans="1:19" x14ac:dyDescent="0.3">
      <c r="A778">
        <v>200010076</v>
      </c>
      <c r="C778" s="22"/>
      <c r="G778" s="7"/>
      <c r="K778" s="7"/>
      <c r="M778" s="8"/>
      <c r="N778" s="8"/>
      <c r="P778" s="8"/>
      <c r="Q778" s="5"/>
      <c r="R778" s="26"/>
      <c r="S778" s="27"/>
    </row>
    <row r="779" spans="1:19" x14ac:dyDescent="0.3">
      <c r="A779">
        <v>200010076</v>
      </c>
      <c r="C779" s="22"/>
      <c r="G779" s="7"/>
      <c r="K779" s="7"/>
      <c r="M779" s="8"/>
      <c r="N779" s="8"/>
      <c r="P779" s="8"/>
      <c r="Q779" s="5"/>
      <c r="R779" s="26"/>
      <c r="S779" s="27"/>
    </row>
    <row r="780" spans="1:19" x14ac:dyDescent="0.3">
      <c r="A780">
        <v>200010076</v>
      </c>
      <c r="C780" s="22"/>
      <c r="G780" s="7"/>
      <c r="K780" s="7"/>
      <c r="M780" s="8"/>
      <c r="N780" s="8"/>
      <c r="P780" s="8"/>
      <c r="Q780" s="5"/>
      <c r="R780" s="26"/>
      <c r="S780" s="27"/>
    </row>
    <row r="781" spans="1:19" x14ac:dyDescent="0.3">
      <c r="A781">
        <v>200010076</v>
      </c>
      <c r="C781" s="22"/>
      <c r="G781" s="7"/>
      <c r="K781" s="7"/>
      <c r="M781" s="8"/>
      <c r="N781" s="8"/>
      <c r="P781" s="8"/>
      <c r="Q781" s="5"/>
      <c r="R781" s="26"/>
      <c r="S781" s="27"/>
    </row>
    <row r="782" spans="1:19" x14ac:dyDescent="0.3">
      <c r="A782">
        <v>200010076</v>
      </c>
      <c r="C782" s="22"/>
      <c r="G782" s="7"/>
      <c r="K782" s="7"/>
      <c r="M782" s="8"/>
      <c r="N782" s="8"/>
      <c r="P782" s="8"/>
      <c r="Q782" s="5"/>
      <c r="R782" s="26"/>
      <c r="S782" s="27"/>
    </row>
    <row r="783" spans="1:19" x14ac:dyDescent="0.3">
      <c r="A783">
        <v>200010076</v>
      </c>
      <c r="C783" s="22"/>
      <c r="G783" s="7"/>
      <c r="K783" s="7"/>
      <c r="M783" s="8"/>
      <c r="N783" s="8"/>
      <c r="P783" s="8"/>
      <c r="Q783" s="5"/>
      <c r="R783" s="26"/>
      <c r="S783" s="27"/>
    </row>
    <row r="784" spans="1:19" x14ac:dyDescent="0.3">
      <c r="A784">
        <v>200010076</v>
      </c>
      <c r="C784" s="22"/>
      <c r="G784" s="7"/>
      <c r="K784" s="7"/>
      <c r="M784" s="8"/>
      <c r="N784" s="8"/>
      <c r="P784" s="8"/>
      <c r="Q784" s="5"/>
      <c r="R784" s="26"/>
      <c r="S784" s="27"/>
    </row>
    <row r="785" spans="1:19" x14ac:dyDescent="0.3">
      <c r="A785">
        <v>200010076</v>
      </c>
      <c r="C785" s="22"/>
      <c r="G785" s="7"/>
      <c r="K785" s="7"/>
      <c r="M785" s="8"/>
      <c r="N785" s="8"/>
      <c r="P785" s="8"/>
      <c r="Q785" s="5"/>
      <c r="R785" s="26"/>
      <c r="S785" s="27"/>
    </row>
    <row r="786" spans="1:19" x14ac:dyDescent="0.3">
      <c r="A786">
        <v>200010076</v>
      </c>
      <c r="C786" s="22"/>
      <c r="G786" s="7"/>
      <c r="K786" s="7"/>
      <c r="M786" s="8"/>
      <c r="N786" s="8"/>
      <c r="P786" s="8"/>
      <c r="Q786" s="5"/>
      <c r="R786" s="26"/>
      <c r="S786" s="27"/>
    </row>
    <row r="787" spans="1:19" x14ac:dyDescent="0.3">
      <c r="A787">
        <v>200010076</v>
      </c>
      <c r="C787" s="22"/>
      <c r="G787" s="7"/>
      <c r="K787" s="7"/>
      <c r="M787" s="8"/>
      <c r="N787" s="8"/>
      <c r="P787" s="8"/>
      <c r="Q787" s="5"/>
      <c r="R787" s="26"/>
      <c r="S787" s="27"/>
    </row>
    <row r="788" spans="1:19" x14ac:dyDescent="0.3">
      <c r="A788">
        <v>200010076</v>
      </c>
      <c r="C788" s="22"/>
      <c r="G788" s="7"/>
      <c r="K788" s="7"/>
      <c r="M788" s="8"/>
      <c r="N788" s="8"/>
      <c r="P788" s="8"/>
      <c r="Q788" s="5"/>
      <c r="R788" s="26"/>
      <c r="S788" s="27"/>
    </row>
    <row r="789" spans="1:19" x14ac:dyDescent="0.3">
      <c r="A789">
        <v>200010076</v>
      </c>
      <c r="C789" s="22"/>
      <c r="G789" s="7"/>
      <c r="K789" s="7"/>
      <c r="M789" s="8"/>
      <c r="N789" s="8"/>
      <c r="P789" s="8"/>
      <c r="Q789" s="5"/>
      <c r="R789" s="26"/>
      <c r="S789" s="27"/>
    </row>
    <row r="790" spans="1:19" x14ac:dyDescent="0.3">
      <c r="A790">
        <v>200010076</v>
      </c>
      <c r="C790" s="22"/>
      <c r="G790" s="7"/>
      <c r="K790" s="7"/>
      <c r="M790" s="8"/>
      <c r="N790" s="8"/>
      <c r="P790" s="8"/>
      <c r="Q790" s="5"/>
      <c r="R790" s="26"/>
      <c r="S790" s="27"/>
    </row>
    <row r="791" spans="1:19" x14ac:dyDescent="0.3">
      <c r="A791">
        <v>200010076</v>
      </c>
      <c r="C791" s="22"/>
      <c r="G791" s="7"/>
      <c r="K791" s="7"/>
      <c r="M791" s="8"/>
      <c r="N791" s="8"/>
      <c r="P791" s="8"/>
      <c r="Q791" s="5"/>
      <c r="R791" s="26"/>
      <c r="S791" s="27"/>
    </row>
    <row r="792" spans="1:19" x14ac:dyDescent="0.3">
      <c r="A792">
        <v>200010076</v>
      </c>
      <c r="C792" s="22"/>
      <c r="G792" s="7"/>
      <c r="K792" s="7"/>
      <c r="M792" s="8"/>
      <c r="N792" s="8"/>
      <c r="P792" s="8"/>
      <c r="Q792" s="5"/>
      <c r="R792" s="26"/>
      <c r="S792" s="27"/>
    </row>
    <row r="793" spans="1:19" x14ac:dyDescent="0.3">
      <c r="A793">
        <v>200010076</v>
      </c>
      <c r="C793" s="22"/>
      <c r="G793" s="7"/>
      <c r="K793" s="7"/>
      <c r="M793" s="8"/>
      <c r="N793" s="8"/>
      <c r="P793" s="8"/>
      <c r="Q793" s="5"/>
      <c r="R793" s="26"/>
      <c r="S793" s="27"/>
    </row>
    <row r="794" spans="1:19" x14ac:dyDescent="0.3">
      <c r="A794">
        <v>200010076</v>
      </c>
      <c r="C794" s="22"/>
      <c r="G794" s="7"/>
      <c r="K794" s="7"/>
      <c r="M794" s="8"/>
      <c r="N794" s="8"/>
      <c r="P794" s="8"/>
      <c r="Q794" s="5"/>
      <c r="R794" s="26"/>
      <c r="S794" s="27"/>
    </row>
    <row r="795" spans="1:19" x14ac:dyDescent="0.3">
      <c r="A795">
        <v>200010076</v>
      </c>
      <c r="C795" s="22"/>
      <c r="G795" s="7"/>
      <c r="K795" s="7"/>
      <c r="M795" s="8"/>
      <c r="N795" s="8"/>
      <c r="P795" s="8"/>
      <c r="Q795" s="5"/>
      <c r="R795" s="26"/>
      <c r="S795" s="27"/>
    </row>
    <row r="796" spans="1:19" x14ac:dyDescent="0.3">
      <c r="A796">
        <v>200010076</v>
      </c>
      <c r="C796" s="22"/>
      <c r="G796" s="7"/>
      <c r="K796" s="7"/>
      <c r="M796" s="8"/>
      <c r="N796" s="8"/>
      <c r="P796" s="8"/>
      <c r="Q796" s="5"/>
      <c r="R796" s="26"/>
      <c r="S796" s="27"/>
    </row>
    <row r="797" spans="1:19" x14ac:dyDescent="0.3">
      <c r="A797">
        <v>200010076</v>
      </c>
      <c r="C797" s="22"/>
      <c r="G797" s="7"/>
      <c r="K797" s="7"/>
      <c r="M797" s="8"/>
      <c r="N797" s="8"/>
      <c r="P797" s="8"/>
      <c r="Q797" s="5"/>
      <c r="R797" s="26"/>
      <c r="S797" s="27"/>
    </row>
    <row r="798" spans="1:19" x14ac:dyDescent="0.3">
      <c r="A798">
        <v>200010076</v>
      </c>
      <c r="C798" s="22"/>
      <c r="G798" s="7"/>
      <c r="K798" s="7"/>
      <c r="M798" s="8"/>
      <c r="N798" s="8"/>
      <c r="P798" s="8"/>
      <c r="Q798" s="5"/>
      <c r="R798" s="26"/>
      <c r="S798" s="27"/>
    </row>
    <row r="799" spans="1:19" x14ac:dyDescent="0.3">
      <c r="A799">
        <v>200010076</v>
      </c>
      <c r="C799" s="22"/>
      <c r="G799" s="7"/>
      <c r="K799" s="7"/>
      <c r="M799" s="8"/>
      <c r="N799" s="8"/>
      <c r="P799" s="8"/>
      <c r="Q799" s="5"/>
      <c r="R799" s="26"/>
      <c r="S799" s="27"/>
    </row>
    <row r="800" spans="1:19" x14ac:dyDescent="0.3">
      <c r="A800">
        <v>200010076</v>
      </c>
      <c r="C800" s="22"/>
      <c r="G800" s="7"/>
      <c r="K800" s="7"/>
      <c r="M800" s="8"/>
      <c r="N800" s="8"/>
      <c r="P800" s="8"/>
      <c r="Q800" s="5"/>
      <c r="R800" s="26"/>
      <c r="S800" s="27"/>
    </row>
    <row r="801" spans="1:19" x14ac:dyDescent="0.3">
      <c r="A801">
        <v>200010076</v>
      </c>
      <c r="C801" s="22"/>
      <c r="G801" s="7"/>
      <c r="K801" s="7"/>
      <c r="M801" s="8"/>
      <c r="N801" s="8"/>
      <c r="P801" s="8"/>
      <c r="Q801" s="5"/>
      <c r="R801" s="26"/>
      <c r="S801" s="27"/>
    </row>
    <row r="802" spans="1:19" x14ac:dyDescent="0.3">
      <c r="A802">
        <v>200010076</v>
      </c>
      <c r="C802" s="22"/>
      <c r="G802" s="7"/>
      <c r="K802" s="7"/>
      <c r="M802" s="8"/>
      <c r="N802" s="8"/>
      <c r="P802" s="8"/>
      <c r="Q802" s="5"/>
      <c r="R802" s="26"/>
      <c r="S802" s="27"/>
    </row>
    <row r="803" spans="1:19" x14ac:dyDescent="0.3">
      <c r="A803">
        <v>200010076</v>
      </c>
      <c r="C803" s="22"/>
      <c r="G803" s="7"/>
      <c r="K803" s="7"/>
      <c r="M803" s="8"/>
      <c r="N803" s="8"/>
      <c r="P803" s="8"/>
      <c r="Q803" s="5"/>
      <c r="R803" s="26"/>
      <c r="S803" s="27"/>
    </row>
    <row r="804" spans="1:19" x14ac:dyDescent="0.3">
      <c r="A804">
        <v>200010076</v>
      </c>
      <c r="C804" s="22"/>
      <c r="G804" s="7"/>
      <c r="K804" s="7"/>
      <c r="M804" s="8"/>
      <c r="N804" s="8"/>
      <c r="P804" s="8"/>
      <c r="Q804" s="5"/>
      <c r="R804" s="26"/>
      <c r="S804" s="27"/>
    </row>
    <row r="805" spans="1:19" x14ac:dyDescent="0.3">
      <c r="A805">
        <v>200010076</v>
      </c>
      <c r="C805" s="22"/>
      <c r="G805" s="7"/>
      <c r="K805" s="7"/>
      <c r="M805" s="8"/>
      <c r="N805" s="8"/>
      <c r="P805" s="8"/>
      <c r="Q805" s="5"/>
      <c r="R805" s="26"/>
      <c r="S805" s="27"/>
    </row>
    <row r="806" spans="1:19" x14ac:dyDescent="0.3">
      <c r="A806">
        <v>200010076</v>
      </c>
      <c r="C806" s="22"/>
      <c r="G806" s="7"/>
      <c r="K806" s="7"/>
      <c r="M806" s="8"/>
      <c r="N806" s="8"/>
      <c r="P806" s="8"/>
      <c r="Q806" s="5"/>
      <c r="R806" s="26"/>
      <c r="S806" s="27"/>
    </row>
    <row r="807" spans="1:19" x14ac:dyDescent="0.3">
      <c r="A807">
        <v>200010076</v>
      </c>
      <c r="C807" s="22"/>
      <c r="G807" s="7"/>
      <c r="K807" s="7"/>
      <c r="M807" s="8"/>
      <c r="N807" s="8"/>
      <c r="P807" s="8"/>
      <c r="Q807" s="5"/>
      <c r="R807" s="26"/>
      <c r="S807" s="27"/>
    </row>
    <row r="808" spans="1:19" x14ac:dyDescent="0.3">
      <c r="A808">
        <v>200010076</v>
      </c>
      <c r="C808" s="22"/>
      <c r="G808" s="7"/>
      <c r="K808" s="7"/>
      <c r="M808" s="8"/>
      <c r="N808" s="8"/>
      <c r="P808" s="8"/>
      <c r="Q808" s="5"/>
      <c r="R808" s="26"/>
      <c r="S808" s="27"/>
    </row>
    <row r="809" spans="1:19" x14ac:dyDescent="0.3">
      <c r="A809">
        <v>200010076</v>
      </c>
      <c r="C809" s="22"/>
      <c r="G809" s="7"/>
      <c r="K809" s="7"/>
      <c r="M809" s="8"/>
      <c r="N809" s="8"/>
      <c r="P809" s="8"/>
      <c r="Q809" s="5"/>
      <c r="R809" s="26"/>
      <c r="S809" s="27"/>
    </row>
    <row r="810" spans="1:19" x14ac:dyDescent="0.3">
      <c r="A810">
        <v>200010076</v>
      </c>
      <c r="C810" s="22"/>
      <c r="G810" s="7"/>
      <c r="K810" s="7"/>
      <c r="M810" s="8"/>
      <c r="N810" s="8"/>
      <c r="P810" s="8"/>
      <c r="Q810" s="5"/>
      <c r="R810" s="26"/>
      <c r="S810" s="27"/>
    </row>
    <row r="811" spans="1:19" x14ac:dyDescent="0.3">
      <c r="A811">
        <v>200010076</v>
      </c>
      <c r="C811" s="22"/>
      <c r="G811" s="7"/>
      <c r="K811" s="7"/>
      <c r="M811" s="8"/>
      <c r="N811" s="8"/>
      <c r="P811" s="8"/>
      <c r="Q811" s="5"/>
      <c r="R811" s="26"/>
      <c r="S811" s="27"/>
    </row>
    <row r="812" spans="1:19" x14ac:dyDescent="0.3">
      <c r="A812">
        <v>200010076</v>
      </c>
      <c r="C812" s="22"/>
      <c r="G812" s="7"/>
      <c r="K812" s="7"/>
      <c r="M812" s="8"/>
      <c r="N812" s="8"/>
      <c r="P812" s="8"/>
      <c r="Q812" s="5"/>
      <c r="R812" s="26"/>
      <c r="S812" s="27"/>
    </row>
    <row r="813" spans="1:19" x14ac:dyDescent="0.3">
      <c r="A813">
        <v>200010076</v>
      </c>
      <c r="C813" s="22"/>
      <c r="G813" s="7"/>
      <c r="K813" s="7"/>
      <c r="M813" s="8"/>
      <c r="N813" s="8"/>
      <c r="P813" s="8"/>
      <c r="Q813" s="5"/>
      <c r="R813" s="26"/>
      <c r="S813" s="27"/>
    </row>
    <row r="814" spans="1:19" x14ac:dyDescent="0.3">
      <c r="A814">
        <v>200010076</v>
      </c>
      <c r="C814" s="22"/>
      <c r="G814" s="7"/>
      <c r="K814" s="7"/>
      <c r="M814" s="8"/>
      <c r="N814" s="8"/>
      <c r="P814" s="8"/>
      <c r="Q814" s="5"/>
      <c r="R814" s="26"/>
      <c r="S814" s="27"/>
    </row>
    <row r="815" spans="1:19" x14ac:dyDescent="0.3">
      <c r="A815">
        <v>200010076</v>
      </c>
      <c r="C815" s="22"/>
      <c r="G815" s="7"/>
      <c r="K815" s="7"/>
      <c r="M815" s="8"/>
      <c r="N815" s="8"/>
      <c r="P815" s="8"/>
      <c r="Q815" s="5"/>
      <c r="R815" s="26"/>
      <c r="S815" s="27"/>
    </row>
    <row r="816" spans="1:19" x14ac:dyDescent="0.3">
      <c r="A816">
        <v>200010076</v>
      </c>
      <c r="C816" s="22"/>
      <c r="G816" s="7"/>
      <c r="K816" s="7"/>
      <c r="M816" s="8"/>
      <c r="N816" s="8"/>
      <c r="P816" s="8"/>
      <c r="Q816" s="5"/>
      <c r="R816" s="26"/>
      <c r="S816" s="27"/>
    </row>
    <row r="817" spans="1:19" x14ac:dyDescent="0.3">
      <c r="A817">
        <v>200010076</v>
      </c>
      <c r="C817" s="22"/>
      <c r="G817" s="7"/>
      <c r="K817" s="7"/>
      <c r="M817" s="8"/>
      <c r="N817" s="8"/>
      <c r="P817" s="8"/>
      <c r="Q817" s="5"/>
      <c r="R817" s="26"/>
      <c r="S817" s="27"/>
    </row>
    <row r="818" spans="1:19" x14ac:dyDescent="0.3">
      <c r="A818">
        <v>200010076</v>
      </c>
      <c r="C818" s="22"/>
      <c r="G818" s="7"/>
      <c r="K818" s="7"/>
      <c r="M818" s="8"/>
      <c r="N818" s="8"/>
      <c r="P818" s="8"/>
      <c r="Q818" s="5"/>
      <c r="R818" s="26"/>
      <c r="S818" s="27"/>
    </row>
    <row r="819" spans="1:19" x14ac:dyDescent="0.3">
      <c r="A819">
        <v>200010076</v>
      </c>
      <c r="C819" s="22"/>
      <c r="G819" s="7"/>
      <c r="K819" s="7"/>
      <c r="M819" s="8"/>
      <c r="N819" s="8"/>
      <c r="P819" s="8"/>
      <c r="Q819" s="5"/>
      <c r="R819" s="26"/>
      <c r="S819" s="27"/>
    </row>
    <row r="820" spans="1:19" x14ac:dyDescent="0.3">
      <c r="A820">
        <v>200010076</v>
      </c>
      <c r="C820" s="22"/>
      <c r="G820" s="7"/>
      <c r="K820" s="7"/>
      <c r="M820" s="8"/>
      <c r="N820" s="8"/>
      <c r="P820" s="8"/>
      <c r="Q820" s="5"/>
      <c r="R820" s="26"/>
      <c r="S820" s="27"/>
    </row>
    <row r="821" spans="1:19" x14ac:dyDescent="0.3">
      <c r="A821">
        <v>200010076</v>
      </c>
      <c r="C821" s="22"/>
      <c r="G821" s="7"/>
      <c r="K821" s="7"/>
      <c r="M821" s="8"/>
      <c r="N821" s="8"/>
      <c r="P821" s="8"/>
      <c r="Q821" s="5"/>
      <c r="R821" s="26"/>
      <c r="S821" s="27"/>
    </row>
    <row r="822" spans="1:19" x14ac:dyDescent="0.3">
      <c r="A822">
        <v>200010076</v>
      </c>
      <c r="C822" s="22"/>
      <c r="G822" s="7"/>
      <c r="K822" s="7"/>
      <c r="M822" s="8"/>
      <c r="N822" s="8"/>
      <c r="P822" s="8"/>
      <c r="Q822" s="5"/>
      <c r="R822" s="26"/>
      <c r="S822" s="27"/>
    </row>
    <row r="823" spans="1:19" x14ac:dyDescent="0.3">
      <c r="A823">
        <v>200010076</v>
      </c>
      <c r="C823" s="22"/>
      <c r="G823" s="7"/>
      <c r="K823" s="7"/>
      <c r="M823" s="8"/>
      <c r="N823" s="8"/>
      <c r="P823" s="8"/>
      <c r="Q823" s="5"/>
      <c r="R823" s="26"/>
      <c r="S823" s="27"/>
    </row>
    <row r="824" spans="1:19" x14ac:dyDescent="0.3">
      <c r="A824">
        <v>200010076</v>
      </c>
      <c r="C824" s="22"/>
      <c r="G824" s="7"/>
      <c r="K824" s="7"/>
      <c r="M824" s="8"/>
      <c r="N824" s="8"/>
      <c r="P824" s="8"/>
      <c r="Q824" s="5"/>
      <c r="R824" s="26"/>
      <c r="S824" s="27"/>
    </row>
    <row r="825" spans="1:19" x14ac:dyDescent="0.3">
      <c r="A825">
        <v>200010076</v>
      </c>
      <c r="C825" s="22"/>
      <c r="G825" s="7"/>
      <c r="K825" s="7"/>
      <c r="M825" s="8"/>
      <c r="N825" s="8"/>
      <c r="P825" s="8"/>
      <c r="Q825" s="5"/>
      <c r="R825" s="26"/>
      <c r="S825" s="27"/>
    </row>
    <row r="826" spans="1:19" x14ac:dyDescent="0.3">
      <c r="A826">
        <v>200010076</v>
      </c>
      <c r="C826" s="22"/>
      <c r="G826" s="7"/>
      <c r="K826" s="7"/>
      <c r="M826" s="8"/>
      <c r="N826" s="8"/>
      <c r="P826" s="8"/>
      <c r="Q826" s="5"/>
      <c r="R826" s="26"/>
      <c r="S826" s="27"/>
    </row>
    <row r="827" spans="1:19" x14ac:dyDescent="0.3">
      <c r="A827">
        <v>200010076</v>
      </c>
      <c r="C827" s="22"/>
      <c r="G827" s="7"/>
      <c r="K827" s="7"/>
      <c r="M827" s="8"/>
      <c r="N827" s="8"/>
      <c r="P827" s="8"/>
      <c r="Q827" s="5"/>
      <c r="R827" s="26"/>
      <c r="S827" s="27"/>
    </row>
    <row r="828" spans="1:19" x14ac:dyDescent="0.3">
      <c r="A828">
        <v>200010076</v>
      </c>
      <c r="C828" s="22"/>
      <c r="G828" s="7"/>
      <c r="K828" s="7"/>
      <c r="M828" s="8"/>
      <c r="N828" s="8"/>
      <c r="P828" s="8"/>
      <c r="Q828" s="5"/>
      <c r="R828" s="26"/>
      <c r="S828" s="27"/>
    </row>
    <row r="829" spans="1:19" x14ac:dyDescent="0.3">
      <c r="A829">
        <v>200010076</v>
      </c>
      <c r="C829" s="22"/>
      <c r="G829" s="7"/>
      <c r="K829" s="7"/>
      <c r="M829" s="8"/>
      <c r="N829" s="8"/>
      <c r="P829" s="8"/>
      <c r="Q829" s="5"/>
      <c r="R829" s="26"/>
      <c r="S829" s="27"/>
    </row>
    <row r="830" spans="1:19" x14ac:dyDescent="0.3">
      <c r="A830">
        <v>200010076</v>
      </c>
      <c r="C830" s="22"/>
      <c r="G830" s="7"/>
      <c r="K830" s="7"/>
      <c r="M830" s="8"/>
      <c r="N830" s="8"/>
      <c r="P830" s="8"/>
      <c r="Q830" s="5"/>
      <c r="R830" s="26"/>
      <c r="S830" s="27"/>
    </row>
    <row r="831" spans="1:19" x14ac:dyDescent="0.3">
      <c r="A831">
        <v>200010076</v>
      </c>
      <c r="C831" s="22"/>
      <c r="G831" s="7"/>
      <c r="K831" s="7"/>
      <c r="M831" s="8"/>
      <c r="N831" s="8"/>
      <c r="P831" s="8"/>
      <c r="Q831" s="5"/>
      <c r="R831" s="26"/>
      <c r="S831" s="27"/>
    </row>
    <row r="832" spans="1:19" x14ac:dyDescent="0.3">
      <c r="A832">
        <v>200010076</v>
      </c>
      <c r="C832" s="22"/>
      <c r="G832" s="7"/>
      <c r="K832" s="7"/>
      <c r="M832" s="8"/>
      <c r="N832" s="8"/>
      <c r="P832" s="8"/>
      <c r="Q832" s="5"/>
      <c r="R832" s="26"/>
      <c r="S832" s="27"/>
    </row>
    <row r="833" spans="1:19" x14ac:dyDescent="0.3">
      <c r="A833">
        <v>200010076</v>
      </c>
      <c r="C833" s="22"/>
      <c r="G833" s="7"/>
      <c r="K833" s="7"/>
      <c r="M833" s="8"/>
      <c r="N833" s="8"/>
      <c r="P833" s="8"/>
      <c r="Q833" s="5"/>
      <c r="R833" s="26"/>
      <c r="S833" s="27"/>
    </row>
    <row r="834" spans="1:19" x14ac:dyDescent="0.3">
      <c r="A834">
        <v>200010076</v>
      </c>
      <c r="C834" s="22"/>
      <c r="G834" s="7"/>
      <c r="K834" s="7"/>
      <c r="M834" s="8"/>
      <c r="N834" s="8"/>
      <c r="P834" s="8"/>
      <c r="Q834" s="5"/>
      <c r="R834" s="26"/>
      <c r="S834" s="27"/>
    </row>
    <row r="835" spans="1:19" x14ac:dyDescent="0.3">
      <c r="A835">
        <v>200010076</v>
      </c>
      <c r="C835" s="22"/>
      <c r="G835" s="7"/>
      <c r="K835" s="7"/>
      <c r="M835" s="8"/>
      <c r="N835" s="8"/>
      <c r="P835" s="8"/>
      <c r="Q835" s="5"/>
      <c r="R835" s="26"/>
      <c r="S835" s="27"/>
    </row>
    <row r="836" spans="1:19" x14ac:dyDescent="0.3">
      <c r="A836">
        <v>200010076</v>
      </c>
      <c r="C836" s="22"/>
      <c r="G836" s="7"/>
      <c r="K836" s="7"/>
      <c r="M836" s="8"/>
      <c r="N836" s="8"/>
      <c r="P836" s="8"/>
      <c r="Q836" s="5"/>
      <c r="R836" s="26"/>
      <c r="S836" s="27"/>
    </row>
    <row r="837" spans="1:19" x14ac:dyDescent="0.3">
      <c r="A837">
        <v>200010076</v>
      </c>
      <c r="C837" s="22"/>
      <c r="G837" s="7"/>
      <c r="K837" s="7"/>
      <c r="M837" s="8"/>
      <c r="N837" s="8"/>
      <c r="P837" s="8"/>
      <c r="Q837" s="5"/>
      <c r="R837" s="26"/>
      <c r="S837" s="27"/>
    </row>
    <row r="838" spans="1:19" x14ac:dyDescent="0.3">
      <c r="A838">
        <v>200010076</v>
      </c>
      <c r="C838" s="22"/>
      <c r="G838" s="7"/>
      <c r="K838" s="7"/>
      <c r="M838" s="8"/>
      <c r="N838" s="8"/>
      <c r="P838" s="8"/>
      <c r="Q838" s="5"/>
      <c r="R838" s="26"/>
      <c r="S838" s="27"/>
    </row>
    <row r="839" spans="1:19" x14ac:dyDescent="0.3">
      <c r="A839">
        <v>200010076</v>
      </c>
      <c r="C839" s="22"/>
      <c r="G839" s="7"/>
      <c r="K839" s="7"/>
      <c r="M839" s="8"/>
      <c r="N839" s="8"/>
      <c r="P839" s="8"/>
      <c r="Q839" s="5"/>
      <c r="R839" s="26"/>
      <c r="S839" s="27"/>
    </row>
    <row r="840" spans="1:19" x14ac:dyDescent="0.3">
      <c r="A840">
        <v>200010076</v>
      </c>
      <c r="C840" s="22"/>
      <c r="G840" s="7"/>
      <c r="K840" s="7"/>
      <c r="M840" s="8"/>
      <c r="N840" s="8"/>
      <c r="P840" s="8"/>
      <c r="Q840" s="5"/>
      <c r="R840" s="26"/>
      <c r="S840" s="27"/>
    </row>
    <row r="841" spans="1:19" x14ac:dyDescent="0.3">
      <c r="A841">
        <v>200010076</v>
      </c>
      <c r="C841" s="22"/>
      <c r="G841" s="7"/>
      <c r="K841" s="7"/>
      <c r="M841" s="8"/>
      <c r="N841" s="8"/>
      <c r="P841" s="8"/>
      <c r="Q841" s="5"/>
      <c r="R841" s="26"/>
      <c r="S841" s="27"/>
    </row>
    <row r="842" spans="1:19" x14ac:dyDescent="0.3">
      <c r="A842">
        <v>200010076</v>
      </c>
      <c r="C842" s="22"/>
      <c r="G842" s="7"/>
      <c r="K842" s="7"/>
      <c r="M842" s="8"/>
      <c r="N842" s="8"/>
      <c r="P842" s="8"/>
      <c r="Q842" s="5"/>
      <c r="R842" s="26"/>
      <c r="S842" s="27"/>
    </row>
    <row r="843" spans="1:19" x14ac:dyDescent="0.3">
      <c r="A843">
        <v>200010076</v>
      </c>
      <c r="C843" s="22"/>
      <c r="G843" s="7"/>
      <c r="K843" s="7"/>
      <c r="M843" s="8"/>
      <c r="N843" s="8"/>
      <c r="P843" s="8"/>
      <c r="Q843" s="5"/>
      <c r="R843" s="26"/>
      <c r="S843" s="27"/>
    </row>
    <row r="844" spans="1:19" x14ac:dyDescent="0.3">
      <c r="A844">
        <v>200010076</v>
      </c>
      <c r="C844" s="22"/>
      <c r="G844" s="7"/>
      <c r="K844" s="7"/>
      <c r="M844" s="8"/>
      <c r="N844" s="8"/>
      <c r="P844" s="8"/>
      <c r="Q844" s="5"/>
      <c r="R844" s="26"/>
      <c r="S844" s="27"/>
    </row>
    <row r="845" spans="1:19" x14ac:dyDescent="0.3">
      <c r="A845">
        <v>200010076</v>
      </c>
      <c r="C845" s="22"/>
      <c r="G845" s="7"/>
      <c r="K845" s="7"/>
      <c r="M845" s="8"/>
      <c r="N845" s="8"/>
      <c r="P845" s="8"/>
      <c r="Q845" s="5"/>
      <c r="R845" s="26"/>
      <c r="S845" s="27"/>
    </row>
    <row r="846" spans="1:19" x14ac:dyDescent="0.3">
      <c r="A846">
        <v>200010076</v>
      </c>
      <c r="C846" s="22"/>
      <c r="G846" s="7"/>
      <c r="K846" s="7"/>
      <c r="M846" s="8"/>
      <c r="N846" s="8"/>
      <c r="P846" s="8"/>
      <c r="Q846" s="5"/>
      <c r="R846" s="26"/>
      <c r="S846" s="27"/>
    </row>
    <row r="847" spans="1:19" x14ac:dyDescent="0.3">
      <c r="A847">
        <v>200010076</v>
      </c>
      <c r="C847" s="22"/>
      <c r="G847" s="7"/>
      <c r="K847" s="7"/>
      <c r="M847" s="8"/>
      <c r="N847" s="8"/>
      <c r="P847" s="8"/>
      <c r="Q847" s="5"/>
      <c r="R847" s="26"/>
      <c r="S847" s="27"/>
    </row>
    <row r="848" spans="1:19" x14ac:dyDescent="0.3">
      <c r="A848">
        <v>200010076</v>
      </c>
      <c r="C848" s="22"/>
      <c r="G848" s="7"/>
      <c r="K848" s="7"/>
      <c r="M848" s="8"/>
      <c r="N848" s="8"/>
      <c r="P848" s="8"/>
      <c r="Q848" s="5"/>
      <c r="R848" s="26"/>
      <c r="S848" s="27"/>
    </row>
    <row r="849" spans="1:19" x14ac:dyDescent="0.3">
      <c r="A849">
        <v>200010076</v>
      </c>
      <c r="C849" s="22"/>
      <c r="G849" s="7"/>
      <c r="K849" s="7"/>
      <c r="M849" s="8"/>
      <c r="N849" s="8"/>
      <c r="P849" s="8"/>
      <c r="Q849" s="5"/>
      <c r="R849" s="26"/>
      <c r="S849" s="27"/>
    </row>
    <row r="850" spans="1:19" x14ac:dyDescent="0.3">
      <c r="A850">
        <v>200010076</v>
      </c>
      <c r="C850" s="22"/>
      <c r="G850" s="7"/>
      <c r="K850" s="7"/>
      <c r="M850" s="8"/>
      <c r="N850" s="8"/>
      <c r="P850" s="8"/>
      <c r="Q850" s="5"/>
      <c r="R850" s="26"/>
      <c r="S850" s="27"/>
    </row>
    <row r="851" spans="1:19" x14ac:dyDescent="0.3">
      <c r="A851">
        <v>200010076</v>
      </c>
      <c r="C851" s="22"/>
      <c r="G851" s="7"/>
      <c r="K851" s="7"/>
      <c r="M851" s="8"/>
      <c r="N851" s="8"/>
      <c r="P851" s="8"/>
      <c r="Q851" s="5"/>
      <c r="R851" s="26"/>
      <c r="S851" s="27"/>
    </row>
    <row r="852" spans="1:19" x14ac:dyDescent="0.3">
      <c r="A852">
        <v>200010076</v>
      </c>
      <c r="C852" s="22"/>
      <c r="G852" s="7"/>
      <c r="K852" s="7"/>
      <c r="M852" s="8"/>
      <c r="N852" s="8"/>
      <c r="P852" s="8"/>
      <c r="Q852" s="5"/>
      <c r="R852" s="26"/>
      <c r="S852" s="27"/>
    </row>
    <row r="853" spans="1:19" x14ac:dyDescent="0.3">
      <c r="A853">
        <v>200010076</v>
      </c>
      <c r="C853" s="22"/>
      <c r="G853" s="7"/>
      <c r="K853" s="7"/>
      <c r="M853" s="8"/>
      <c r="N853" s="8"/>
      <c r="P853" s="8"/>
      <c r="Q853" s="5"/>
      <c r="R853" s="26"/>
      <c r="S853" s="27"/>
    </row>
    <row r="854" spans="1:19" x14ac:dyDescent="0.3">
      <c r="A854">
        <v>200010076</v>
      </c>
      <c r="C854" s="22"/>
      <c r="G854" s="7"/>
      <c r="K854" s="7"/>
      <c r="M854" s="8"/>
      <c r="N854" s="8"/>
      <c r="P854" s="8"/>
      <c r="Q854" s="5"/>
      <c r="R854" s="26"/>
      <c r="S854" s="27"/>
    </row>
    <row r="855" spans="1:19" x14ac:dyDescent="0.3">
      <c r="A855">
        <v>200010076</v>
      </c>
      <c r="C855" s="22"/>
      <c r="G855" s="7"/>
      <c r="K855" s="7"/>
      <c r="M855" s="8"/>
      <c r="N855" s="8"/>
      <c r="P855" s="8"/>
      <c r="Q855" s="5"/>
      <c r="R855" s="26"/>
      <c r="S855" s="27"/>
    </row>
    <row r="856" spans="1:19" x14ac:dyDescent="0.3">
      <c r="A856">
        <v>200010076</v>
      </c>
      <c r="C856" s="22"/>
      <c r="G856" s="7"/>
      <c r="K856" s="7"/>
      <c r="M856" s="8"/>
      <c r="N856" s="8"/>
      <c r="P856" s="8"/>
      <c r="Q856" s="5"/>
      <c r="R856" s="26"/>
      <c r="S856" s="27"/>
    </row>
    <row r="857" spans="1:19" x14ac:dyDescent="0.3">
      <c r="A857">
        <v>200010076</v>
      </c>
      <c r="C857" s="22"/>
      <c r="G857" s="7"/>
      <c r="K857" s="7"/>
      <c r="M857" s="8"/>
      <c r="N857" s="8"/>
      <c r="P857" s="8"/>
      <c r="Q857" s="5"/>
      <c r="R857" s="26"/>
      <c r="S857" s="27"/>
    </row>
    <row r="858" spans="1:19" x14ac:dyDescent="0.3">
      <c r="A858">
        <v>200010076</v>
      </c>
      <c r="C858" s="22"/>
      <c r="G858" s="7"/>
      <c r="K858" s="7"/>
      <c r="M858" s="8"/>
      <c r="N858" s="8"/>
      <c r="P858" s="8"/>
      <c r="Q858" s="5"/>
      <c r="R858" s="26"/>
      <c r="S858" s="27"/>
    </row>
    <row r="859" spans="1:19" x14ac:dyDescent="0.3">
      <c r="A859">
        <v>200010076</v>
      </c>
      <c r="C859" s="22"/>
      <c r="G859" s="7"/>
      <c r="K859" s="7"/>
      <c r="M859" s="8"/>
      <c r="N859" s="8"/>
      <c r="P859" s="8"/>
      <c r="Q859" s="5"/>
      <c r="R859" s="26"/>
      <c r="S859" s="27"/>
    </row>
    <row r="860" spans="1:19" x14ac:dyDescent="0.3">
      <c r="A860">
        <v>200010076</v>
      </c>
      <c r="C860" s="22"/>
      <c r="G860" s="7"/>
      <c r="K860" s="7"/>
      <c r="M860" s="8"/>
      <c r="N860" s="8"/>
      <c r="P860" s="8"/>
      <c r="Q860" s="5"/>
      <c r="R860" s="26"/>
      <c r="S860" s="27"/>
    </row>
    <row r="861" spans="1:19" x14ac:dyDescent="0.3">
      <c r="A861">
        <v>200010076</v>
      </c>
      <c r="C861" s="22"/>
      <c r="G861" s="7"/>
      <c r="K861" s="7"/>
      <c r="M861" s="8"/>
      <c r="N861" s="8"/>
      <c r="P861" s="8"/>
      <c r="Q861" s="5"/>
      <c r="R861" s="26"/>
      <c r="S861" s="27"/>
    </row>
    <row r="862" spans="1:19" x14ac:dyDescent="0.3">
      <c r="A862">
        <v>200010076</v>
      </c>
      <c r="C862" s="22"/>
      <c r="G862" s="7"/>
      <c r="K862" s="7"/>
      <c r="M862" s="8"/>
      <c r="N862" s="8"/>
      <c r="P862" s="8"/>
      <c r="Q862" s="5"/>
      <c r="R862" s="26"/>
      <c r="S862" s="27"/>
    </row>
    <row r="863" spans="1:19" x14ac:dyDescent="0.3">
      <c r="A863">
        <v>200010076</v>
      </c>
      <c r="C863" s="22"/>
      <c r="G863" s="7"/>
      <c r="K863" s="7"/>
      <c r="M863" s="8"/>
      <c r="N863" s="8"/>
      <c r="P863" s="8"/>
      <c r="Q863" s="5"/>
      <c r="R863" s="26"/>
      <c r="S863" s="27"/>
    </row>
    <row r="864" spans="1:19" x14ac:dyDescent="0.3">
      <c r="A864">
        <v>200010076</v>
      </c>
      <c r="C864" s="22"/>
      <c r="G864" s="7"/>
      <c r="K864" s="7"/>
      <c r="M864" s="8"/>
      <c r="N864" s="8"/>
      <c r="P864" s="8"/>
      <c r="Q864" s="5"/>
      <c r="R864" s="26"/>
      <c r="S864" s="27"/>
    </row>
    <row r="865" spans="1:19" x14ac:dyDescent="0.3">
      <c r="A865">
        <v>200010076</v>
      </c>
      <c r="C865" s="22"/>
      <c r="G865" s="7"/>
      <c r="K865" s="7"/>
      <c r="M865" s="8"/>
      <c r="N865" s="8"/>
      <c r="P865" s="8"/>
      <c r="Q865" s="5"/>
      <c r="R865" s="26"/>
      <c r="S865" s="27"/>
    </row>
    <row r="866" spans="1:19" x14ac:dyDescent="0.3">
      <c r="A866">
        <v>200010076</v>
      </c>
      <c r="C866" s="22"/>
      <c r="G866" s="7"/>
      <c r="K866" s="7"/>
      <c r="M866" s="8"/>
      <c r="N866" s="8"/>
      <c r="P866" s="8"/>
      <c r="Q866" s="5"/>
      <c r="R866" s="26"/>
      <c r="S866" s="27"/>
    </row>
    <row r="867" spans="1:19" x14ac:dyDescent="0.3">
      <c r="A867">
        <v>200010076</v>
      </c>
      <c r="C867" s="22"/>
      <c r="G867" s="7"/>
      <c r="K867" s="7"/>
      <c r="M867" s="8"/>
      <c r="N867" s="8"/>
      <c r="P867" s="8"/>
      <c r="Q867" s="5"/>
      <c r="R867" s="26"/>
      <c r="S867" s="27"/>
    </row>
    <row r="868" spans="1:19" x14ac:dyDescent="0.3">
      <c r="A868">
        <v>200010076</v>
      </c>
      <c r="C868" s="22"/>
      <c r="G868" s="7"/>
      <c r="K868" s="7"/>
      <c r="M868" s="8"/>
      <c r="N868" s="8"/>
      <c r="P868" s="8"/>
      <c r="Q868" s="5"/>
      <c r="R868" s="26"/>
      <c r="S868" s="27"/>
    </row>
    <row r="869" spans="1:19" x14ac:dyDescent="0.3">
      <c r="A869">
        <v>200010076</v>
      </c>
      <c r="C869" s="22"/>
      <c r="G869" s="7"/>
      <c r="K869" s="7"/>
      <c r="M869" s="8"/>
      <c r="N869" s="8"/>
      <c r="P869" s="8"/>
      <c r="Q869" s="5"/>
      <c r="R869" s="26"/>
      <c r="S869" s="27"/>
    </row>
    <row r="870" spans="1:19" x14ac:dyDescent="0.3">
      <c r="A870">
        <v>200010076</v>
      </c>
      <c r="C870" s="22"/>
      <c r="G870" s="7"/>
      <c r="K870" s="7"/>
      <c r="M870" s="8"/>
      <c r="N870" s="8"/>
      <c r="P870" s="8"/>
      <c r="Q870" s="5"/>
      <c r="R870" s="26"/>
      <c r="S870" s="27"/>
    </row>
    <row r="871" spans="1:19" x14ac:dyDescent="0.3">
      <c r="A871">
        <v>200010076</v>
      </c>
      <c r="C871" s="22"/>
      <c r="G871" s="7"/>
      <c r="K871" s="7"/>
      <c r="M871" s="8"/>
      <c r="N871" s="8"/>
      <c r="P871" s="8"/>
      <c r="Q871" s="5"/>
      <c r="R871" s="26"/>
      <c r="S871" s="27"/>
    </row>
    <row r="872" spans="1:19" x14ac:dyDescent="0.3">
      <c r="A872">
        <v>200010076</v>
      </c>
      <c r="C872" s="22"/>
      <c r="G872" s="7"/>
      <c r="K872" s="7"/>
      <c r="M872" s="8"/>
      <c r="N872" s="8"/>
      <c r="P872" s="8"/>
      <c r="Q872" s="5"/>
      <c r="R872" s="26"/>
      <c r="S872" s="27"/>
    </row>
    <row r="873" spans="1:19" x14ac:dyDescent="0.3">
      <c r="A873">
        <v>200010076</v>
      </c>
      <c r="C873" s="22"/>
      <c r="G873" s="7"/>
      <c r="K873" s="7"/>
      <c r="M873" s="8"/>
      <c r="N873" s="8"/>
      <c r="P873" s="8"/>
      <c r="Q873" s="5"/>
      <c r="R873" s="26"/>
      <c r="S873" s="27"/>
    </row>
    <row r="874" spans="1:19" x14ac:dyDescent="0.3">
      <c r="A874">
        <v>200010076</v>
      </c>
      <c r="C874" s="22"/>
      <c r="G874" s="7"/>
      <c r="K874" s="7"/>
      <c r="M874" s="8"/>
      <c r="N874" s="8"/>
      <c r="P874" s="8"/>
      <c r="Q874" s="5"/>
      <c r="R874" s="26"/>
      <c r="S874" s="27"/>
    </row>
    <row r="875" spans="1:19" x14ac:dyDescent="0.3">
      <c r="A875">
        <v>200010076</v>
      </c>
      <c r="C875" s="22"/>
      <c r="G875" s="7"/>
      <c r="K875" s="7"/>
      <c r="M875" s="8"/>
      <c r="N875" s="8"/>
      <c r="P875" s="8"/>
      <c r="Q875" s="5"/>
      <c r="R875" s="26"/>
      <c r="S875" s="27"/>
    </row>
    <row r="876" spans="1:19" x14ac:dyDescent="0.3">
      <c r="A876">
        <v>200010076</v>
      </c>
      <c r="C876" s="22"/>
      <c r="G876" s="7"/>
      <c r="K876" s="7"/>
      <c r="M876" s="8"/>
      <c r="N876" s="8"/>
      <c r="P876" s="8"/>
      <c r="Q876" s="5"/>
      <c r="R876" s="26"/>
      <c r="S876" s="27"/>
    </row>
    <row r="877" spans="1:19" x14ac:dyDescent="0.3">
      <c r="A877">
        <v>200010076</v>
      </c>
      <c r="C877" s="22"/>
      <c r="G877" s="7"/>
      <c r="K877" s="7"/>
      <c r="M877" s="8"/>
      <c r="N877" s="8"/>
      <c r="P877" s="8"/>
      <c r="Q877" s="5"/>
      <c r="R877" s="26"/>
      <c r="S877" s="27"/>
    </row>
    <row r="878" spans="1:19" x14ac:dyDescent="0.3">
      <c r="A878">
        <v>200010076</v>
      </c>
      <c r="C878" s="22"/>
      <c r="G878" s="7"/>
      <c r="K878" s="7"/>
      <c r="M878" s="8"/>
      <c r="N878" s="8"/>
      <c r="P878" s="8"/>
      <c r="Q878" s="5"/>
      <c r="R878" s="26"/>
      <c r="S878" s="27"/>
    </row>
    <row r="879" spans="1:19" x14ac:dyDescent="0.3">
      <c r="A879">
        <v>200010076</v>
      </c>
      <c r="C879" s="22"/>
      <c r="G879" s="7"/>
      <c r="K879" s="7"/>
      <c r="M879" s="8"/>
      <c r="N879" s="8"/>
      <c r="P879" s="8"/>
      <c r="Q879" s="5"/>
      <c r="R879" s="26"/>
      <c r="S879" s="27"/>
    </row>
    <row r="880" spans="1:19" x14ac:dyDescent="0.3">
      <c r="A880">
        <v>200010076</v>
      </c>
      <c r="C880" s="22"/>
      <c r="G880" s="7"/>
      <c r="K880" s="7"/>
      <c r="M880" s="8"/>
      <c r="N880" s="8"/>
      <c r="P880" s="8"/>
      <c r="Q880" s="5"/>
      <c r="R880" s="26"/>
      <c r="S880" s="27"/>
    </row>
    <row r="881" spans="1:19" x14ac:dyDescent="0.3">
      <c r="A881">
        <v>200010076</v>
      </c>
      <c r="C881" s="22"/>
      <c r="G881" s="7"/>
      <c r="K881" s="7"/>
      <c r="M881" s="8"/>
      <c r="N881" s="8"/>
      <c r="P881" s="8"/>
      <c r="Q881" s="5"/>
      <c r="R881" s="26"/>
      <c r="S881" s="27"/>
    </row>
    <row r="882" spans="1:19" x14ac:dyDescent="0.3">
      <c r="A882">
        <v>200010076</v>
      </c>
      <c r="C882" s="22"/>
      <c r="G882" s="7"/>
      <c r="K882" s="7"/>
      <c r="M882" s="8"/>
      <c r="N882" s="8"/>
      <c r="P882" s="8"/>
      <c r="Q882" s="5"/>
      <c r="R882" s="26"/>
      <c r="S882" s="27"/>
    </row>
    <row r="883" spans="1:19" x14ac:dyDescent="0.3">
      <c r="A883">
        <v>200010076</v>
      </c>
      <c r="C883" s="22"/>
      <c r="G883" s="7"/>
      <c r="K883" s="7"/>
      <c r="M883" s="8"/>
      <c r="N883" s="8"/>
      <c r="P883" s="8"/>
      <c r="Q883" s="5"/>
      <c r="R883" s="26"/>
      <c r="S883" s="27"/>
    </row>
    <row r="884" spans="1:19" x14ac:dyDescent="0.3">
      <c r="A884">
        <v>200010076</v>
      </c>
      <c r="C884" s="22"/>
      <c r="G884" s="7"/>
      <c r="K884" s="7"/>
      <c r="M884" s="8"/>
      <c r="N884" s="8"/>
      <c r="P884" s="8"/>
      <c r="Q884" s="5"/>
      <c r="R884" s="26"/>
      <c r="S884" s="27"/>
    </row>
    <row r="885" spans="1:19" x14ac:dyDescent="0.3">
      <c r="A885">
        <v>200010076</v>
      </c>
      <c r="C885" s="22"/>
      <c r="G885" s="7"/>
      <c r="K885" s="7"/>
      <c r="M885" s="8"/>
      <c r="N885" s="8"/>
      <c r="P885" s="8"/>
      <c r="Q885" s="5"/>
      <c r="R885" s="26"/>
      <c r="S885" s="27"/>
    </row>
    <row r="886" spans="1:19" x14ac:dyDescent="0.3">
      <c r="A886">
        <v>200010076</v>
      </c>
      <c r="C886" s="22"/>
      <c r="G886" s="7"/>
      <c r="K886" s="7"/>
      <c r="M886" s="8"/>
      <c r="N886" s="8"/>
      <c r="P886" s="8"/>
      <c r="Q886" s="5"/>
      <c r="R886" s="26"/>
      <c r="S886" s="27"/>
    </row>
    <row r="887" spans="1:19" x14ac:dyDescent="0.3">
      <c r="A887">
        <v>200010076</v>
      </c>
      <c r="C887" s="22"/>
      <c r="G887" s="7"/>
      <c r="K887" s="7"/>
      <c r="M887" s="8"/>
      <c r="N887" s="8"/>
      <c r="P887" s="8"/>
      <c r="Q887" s="5"/>
      <c r="R887" s="26"/>
      <c r="S887" s="27"/>
    </row>
    <row r="888" spans="1:19" x14ac:dyDescent="0.3">
      <c r="A888">
        <v>200010076</v>
      </c>
      <c r="C888" s="22"/>
      <c r="G888" s="7"/>
      <c r="K888" s="7"/>
      <c r="M888" s="8"/>
      <c r="N888" s="8"/>
      <c r="P888" s="8"/>
      <c r="Q888" s="5"/>
      <c r="R888" s="26"/>
      <c r="S888" s="27"/>
    </row>
    <row r="889" spans="1:19" x14ac:dyDescent="0.3">
      <c r="A889">
        <v>200010076</v>
      </c>
      <c r="C889" s="22"/>
      <c r="G889" s="7"/>
      <c r="K889" s="7"/>
      <c r="M889" s="8"/>
      <c r="N889" s="8"/>
      <c r="P889" s="8"/>
      <c r="Q889" s="5"/>
      <c r="R889" s="26"/>
      <c r="S889" s="27"/>
    </row>
    <row r="890" spans="1:19" x14ac:dyDescent="0.3">
      <c r="A890">
        <v>200010076</v>
      </c>
      <c r="C890" s="22"/>
      <c r="G890" s="7"/>
      <c r="K890" s="7"/>
      <c r="M890" s="8"/>
      <c r="N890" s="8"/>
      <c r="P890" s="8"/>
      <c r="Q890" s="5"/>
      <c r="R890" s="26"/>
      <c r="S890" s="27"/>
    </row>
    <row r="891" spans="1:19" x14ac:dyDescent="0.3">
      <c r="A891">
        <v>200010076</v>
      </c>
      <c r="C891" s="22"/>
      <c r="G891" s="7"/>
      <c r="K891" s="7"/>
      <c r="M891" s="8"/>
      <c r="N891" s="8"/>
      <c r="P891" s="8"/>
      <c r="Q891" s="5"/>
      <c r="R891" s="26"/>
      <c r="S891" s="27"/>
    </row>
    <row r="892" spans="1:19" x14ac:dyDescent="0.3">
      <c r="A892">
        <v>200010076</v>
      </c>
      <c r="C892" s="22"/>
      <c r="G892" s="7"/>
      <c r="K892" s="7"/>
      <c r="M892" s="8"/>
      <c r="N892" s="8"/>
      <c r="P892" s="8"/>
      <c r="Q892" s="5"/>
      <c r="R892" s="26"/>
      <c r="S892" s="27"/>
    </row>
    <row r="893" spans="1:19" x14ac:dyDescent="0.3">
      <c r="A893">
        <v>200010076</v>
      </c>
      <c r="C893" s="22"/>
      <c r="G893" s="7"/>
      <c r="K893" s="7"/>
      <c r="M893" s="8"/>
      <c r="N893" s="8"/>
      <c r="P893" s="8"/>
      <c r="Q893" s="5"/>
      <c r="R893" s="26"/>
      <c r="S893" s="27"/>
    </row>
    <row r="894" spans="1:19" x14ac:dyDescent="0.3">
      <c r="A894">
        <v>200010076</v>
      </c>
      <c r="C894" s="22"/>
      <c r="G894" s="7"/>
      <c r="K894" s="7"/>
      <c r="M894" s="8"/>
      <c r="N894" s="8"/>
      <c r="P894" s="8"/>
      <c r="Q894" s="5"/>
      <c r="R894" s="26"/>
      <c r="S894" s="27"/>
    </row>
    <row r="895" spans="1:19" x14ac:dyDescent="0.3">
      <c r="A895">
        <v>200010076</v>
      </c>
      <c r="C895" s="22"/>
      <c r="G895" s="7"/>
      <c r="K895" s="7"/>
      <c r="M895" s="8"/>
      <c r="N895" s="8"/>
      <c r="P895" s="8"/>
      <c r="Q895" s="5"/>
      <c r="R895" s="26"/>
      <c r="S895" s="27"/>
    </row>
    <row r="896" spans="1:19" x14ac:dyDescent="0.3">
      <c r="A896">
        <v>200010076</v>
      </c>
      <c r="C896" s="22"/>
      <c r="G896" s="7"/>
      <c r="K896" s="7"/>
      <c r="M896" s="8"/>
      <c r="N896" s="8"/>
      <c r="P896" s="8"/>
      <c r="Q896" s="5"/>
      <c r="R896" s="26"/>
      <c r="S896" s="27"/>
    </row>
    <row r="897" spans="1:19" x14ac:dyDescent="0.3">
      <c r="A897">
        <v>200010076</v>
      </c>
      <c r="C897" s="22"/>
      <c r="G897" s="7"/>
      <c r="K897" s="7"/>
      <c r="M897" s="8"/>
      <c r="N897" s="8"/>
      <c r="P897" s="8"/>
      <c r="Q897" s="5"/>
      <c r="R897" s="26"/>
      <c r="S897" s="27"/>
    </row>
    <row r="898" spans="1:19" x14ac:dyDescent="0.3">
      <c r="A898">
        <v>200010076</v>
      </c>
      <c r="C898" s="22"/>
      <c r="G898" s="7"/>
      <c r="K898" s="7"/>
      <c r="M898" s="8"/>
      <c r="N898" s="8"/>
      <c r="P898" s="8"/>
      <c r="Q898" s="5"/>
      <c r="R898" s="26"/>
      <c r="S898" s="27"/>
    </row>
    <row r="899" spans="1:19" x14ac:dyDescent="0.3">
      <c r="A899">
        <v>200010076</v>
      </c>
      <c r="C899" s="22"/>
      <c r="G899" s="7"/>
      <c r="K899" s="7"/>
      <c r="M899" s="8"/>
      <c r="N899" s="8"/>
      <c r="P899" s="8"/>
      <c r="Q899" s="5"/>
      <c r="R899" s="26"/>
      <c r="S899" s="27"/>
    </row>
    <row r="900" spans="1:19" x14ac:dyDescent="0.3">
      <c r="A900">
        <v>200010076</v>
      </c>
      <c r="C900" s="22"/>
      <c r="G900" s="7"/>
      <c r="K900" s="7"/>
      <c r="M900" s="8"/>
      <c r="N900" s="8"/>
      <c r="P900" s="8"/>
      <c r="Q900" s="5"/>
      <c r="R900" s="26"/>
      <c r="S900" s="27"/>
    </row>
    <row r="901" spans="1:19" x14ac:dyDescent="0.3">
      <c r="A901">
        <v>200010076</v>
      </c>
      <c r="C901" s="22"/>
      <c r="G901" s="7"/>
      <c r="K901" s="7"/>
      <c r="M901" s="8"/>
      <c r="N901" s="8"/>
      <c r="P901" s="8"/>
      <c r="Q901" s="5"/>
      <c r="R901" s="26"/>
      <c r="S901" s="27"/>
    </row>
    <row r="902" spans="1:19" x14ac:dyDescent="0.3">
      <c r="A902">
        <v>200010076</v>
      </c>
      <c r="C902" s="22"/>
      <c r="G902" s="7"/>
      <c r="K902" s="7"/>
      <c r="M902" s="8"/>
      <c r="N902" s="8"/>
      <c r="P902" s="8"/>
      <c r="Q902" s="5"/>
      <c r="R902" s="26"/>
      <c r="S902" s="27"/>
    </row>
    <row r="903" spans="1:19" x14ac:dyDescent="0.3">
      <c r="A903">
        <v>200010076</v>
      </c>
      <c r="C903" s="22"/>
      <c r="G903" s="7"/>
      <c r="K903" s="7"/>
      <c r="M903" s="8"/>
      <c r="N903" s="8"/>
      <c r="P903" s="8"/>
      <c r="Q903" s="5"/>
      <c r="R903" s="26"/>
      <c r="S903" s="27"/>
    </row>
    <row r="904" spans="1:19" x14ac:dyDescent="0.3">
      <c r="A904">
        <v>200010076</v>
      </c>
      <c r="C904" s="22"/>
      <c r="G904" s="7"/>
      <c r="K904" s="7"/>
      <c r="M904" s="8"/>
      <c r="N904" s="8"/>
      <c r="P904" s="8"/>
      <c r="Q904" s="5"/>
      <c r="R904" s="26"/>
      <c r="S904" s="27"/>
    </row>
    <row r="905" spans="1:19" x14ac:dyDescent="0.3">
      <c r="A905">
        <v>200010076</v>
      </c>
      <c r="C905" s="22"/>
      <c r="G905" s="7"/>
      <c r="K905" s="7"/>
      <c r="M905" s="8"/>
      <c r="N905" s="8"/>
      <c r="P905" s="8"/>
      <c r="Q905" s="5"/>
      <c r="R905" s="26"/>
      <c r="S905" s="27"/>
    </row>
    <row r="906" spans="1:19" x14ac:dyDescent="0.3">
      <c r="A906">
        <v>200010076</v>
      </c>
      <c r="C906" s="22"/>
      <c r="G906" s="7"/>
      <c r="K906" s="7"/>
      <c r="M906" s="8"/>
      <c r="N906" s="8"/>
      <c r="P906" s="8"/>
      <c r="Q906" s="5"/>
      <c r="R906" s="26"/>
      <c r="S906" s="27"/>
    </row>
    <row r="907" spans="1:19" x14ac:dyDescent="0.3">
      <c r="A907">
        <v>200010076</v>
      </c>
      <c r="C907" s="22"/>
      <c r="G907" s="7"/>
      <c r="K907" s="7"/>
      <c r="M907" s="8"/>
      <c r="N907" s="8"/>
      <c r="P907" s="8"/>
      <c r="Q907" s="5"/>
      <c r="R907" s="26"/>
      <c r="S907" s="27"/>
    </row>
    <row r="908" spans="1:19" x14ac:dyDescent="0.3">
      <c r="A908">
        <v>200010076</v>
      </c>
      <c r="C908" s="22"/>
      <c r="G908" s="7"/>
      <c r="K908" s="7"/>
      <c r="M908" s="8"/>
      <c r="N908" s="8"/>
      <c r="P908" s="8"/>
      <c r="Q908" s="5"/>
      <c r="R908" s="26"/>
      <c r="S908" s="27"/>
    </row>
    <row r="909" spans="1:19" x14ac:dyDescent="0.3">
      <c r="A909">
        <v>200010076</v>
      </c>
      <c r="C909" s="22"/>
      <c r="G909" s="7"/>
      <c r="K909" s="7"/>
      <c r="M909" s="8"/>
      <c r="N909" s="8"/>
      <c r="P909" s="8"/>
      <c r="Q909" s="5"/>
      <c r="R909" s="26"/>
      <c r="S909" s="27"/>
    </row>
    <row r="910" spans="1:19" x14ac:dyDescent="0.3">
      <c r="A910">
        <v>200010076</v>
      </c>
      <c r="C910" s="22"/>
      <c r="G910" s="7"/>
      <c r="K910" s="7"/>
      <c r="M910" s="8"/>
      <c r="N910" s="8"/>
      <c r="P910" s="8"/>
      <c r="Q910" s="5"/>
      <c r="R910" s="26"/>
      <c r="S910" s="27"/>
    </row>
    <row r="911" spans="1:19" x14ac:dyDescent="0.3">
      <c r="A911">
        <v>200010076</v>
      </c>
      <c r="C911" s="22"/>
      <c r="G911" s="7"/>
      <c r="K911" s="7"/>
      <c r="M911" s="8"/>
      <c r="N911" s="8"/>
      <c r="P911" s="8"/>
      <c r="Q911" s="5"/>
      <c r="R911" s="26"/>
      <c r="S911" s="27"/>
    </row>
    <row r="912" spans="1:19" x14ac:dyDescent="0.3">
      <c r="A912">
        <v>200010076</v>
      </c>
      <c r="C912" s="22"/>
      <c r="G912" s="7"/>
      <c r="K912" s="7"/>
      <c r="M912" s="8"/>
      <c r="N912" s="8"/>
      <c r="P912" s="8"/>
      <c r="Q912" s="5"/>
      <c r="R912" s="26"/>
      <c r="S912" s="27"/>
    </row>
    <row r="913" spans="1:19" x14ac:dyDescent="0.3">
      <c r="A913">
        <v>200010076</v>
      </c>
      <c r="C913" s="22"/>
      <c r="G913" s="7"/>
      <c r="K913" s="7"/>
      <c r="M913" s="8"/>
      <c r="N913" s="8"/>
      <c r="P913" s="8"/>
      <c r="Q913" s="5"/>
      <c r="R913" s="26"/>
      <c r="S913" s="27"/>
    </row>
    <row r="914" spans="1:19" x14ac:dyDescent="0.3">
      <c r="A914">
        <v>200010076</v>
      </c>
      <c r="C914" s="22"/>
      <c r="G914" s="7"/>
      <c r="K914" s="7"/>
      <c r="M914" s="8"/>
      <c r="N914" s="8"/>
      <c r="P914" s="8"/>
      <c r="Q914" s="5"/>
      <c r="R914" s="26"/>
      <c r="S914" s="27"/>
    </row>
    <row r="915" spans="1:19" x14ac:dyDescent="0.3">
      <c r="A915">
        <v>200010076</v>
      </c>
      <c r="C915" s="22"/>
      <c r="G915" s="7"/>
      <c r="K915" s="7"/>
      <c r="M915" s="8"/>
      <c r="N915" s="8"/>
      <c r="P915" s="8"/>
      <c r="Q915" s="5"/>
      <c r="R915" s="26"/>
      <c r="S915" s="27"/>
    </row>
    <row r="916" spans="1:19" x14ac:dyDescent="0.3">
      <c r="A916">
        <v>200010076</v>
      </c>
      <c r="C916" s="22"/>
      <c r="G916" s="7"/>
      <c r="K916" s="7"/>
      <c r="M916" s="8"/>
      <c r="N916" s="8"/>
      <c r="P916" s="8"/>
      <c r="Q916" s="5"/>
      <c r="R916" s="26"/>
      <c r="S916" s="27"/>
    </row>
    <row r="917" spans="1:19" x14ac:dyDescent="0.3">
      <c r="A917">
        <v>200010076</v>
      </c>
      <c r="C917" s="22"/>
      <c r="G917" s="7"/>
      <c r="K917" s="7"/>
      <c r="M917" s="8"/>
      <c r="N917" s="8"/>
      <c r="P917" s="8"/>
      <c r="Q917" s="5"/>
      <c r="R917" s="26"/>
      <c r="S917" s="27"/>
    </row>
    <row r="918" spans="1:19" x14ac:dyDescent="0.3">
      <c r="A918">
        <v>200010076</v>
      </c>
      <c r="C918" s="22"/>
      <c r="G918" s="7"/>
      <c r="K918" s="7"/>
      <c r="M918" s="8"/>
      <c r="N918" s="8"/>
      <c r="P918" s="8"/>
      <c r="Q918" s="5"/>
      <c r="R918" s="26"/>
      <c r="S918" s="27"/>
    </row>
    <row r="919" spans="1:19" x14ac:dyDescent="0.3">
      <c r="A919">
        <v>200010076</v>
      </c>
      <c r="C919" s="22"/>
      <c r="G919" s="7"/>
      <c r="K919" s="7"/>
      <c r="M919" s="8"/>
      <c r="N919" s="8"/>
      <c r="P919" s="8"/>
      <c r="Q919" s="5"/>
      <c r="R919" s="26"/>
      <c r="S919" s="27"/>
    </row>
    <row r="920" spans="1:19" x14ac:dyDescent="0.3">
      <c r="A920">
        <v>200010076</v>
      </c>
      <c r="C920" s="22"/>
      <c r="G920" s="7"/>
      <c r="K920" s="7"/>
      <c r="M920" s="8"/>
      <c r="N920" s="8"/>
      <c r="P920" s="8"/>
      <c r="Q920" s="5"/>
      <c r="R920" s="26"/>
      <c r="S920" s="27"/>
    </row>
    <row r="921" spans="1:19" x14ac:dyDescent="0.3">
      <c r="A921">
        <v>200010076</v>
      </c>
      <c r="C921" s="22"/>
      <c r="G921" s="7"/>
      <c r="K921" s="7"/>
      <c r="M921" s="8"/>
      <c r="N921" s="8"/>
      <c r="P921" s="8"/>
      <c r="Q921" s="5"/>
      <c r="R921" s="26"/>
      <c r="S921" s="27"/>
    </row>
    <row r="922" spans="1:19" x14ac:dyDescent="0.3">
      <c r="A922">
        <v>200010076</v>
      </c>
      <c r="C922" s="22"/>
      <c r="G922" s="7"/>
      <c r="K922" s="7"/>
      <c r="M922" s="8"/>
      <c r="N922" s="8"/>
      <c r="P922" s="8"/>
      <c r="Q922" s="5"/>
      <c r="R922" s="26"/>
      <c r="S922" s="27"/>
    </row>
    <row r="923" spans="1:19" x14ac:dyDescent="0.3">
      <c r="A923">
        <v>200010076</v>
      </c>
      <c r="C923" s="22"/>
      <c r="G923" s="7"/>
      <c r="K923" s="7"/>
      <c r="M923" s="8"/>
      <c r="N923" s="8"/>
      <c r="P923" s="8"/>
      <c r="Q923" s="5"/>
      <c r="R923" s="26"/>
      <c r="S923" s="27"/>
    </row>
    <row r="924" spans="1:19" x14ac:dyDescent="0.3">
      <c r="A924">
        <v>200010076</v>
      </c>
      <c r="C924" s="22"/>
      <c r="G924" s="7"/>
      <c r="K924" s="7"/>
      <c r="M924" s="8"/>
      <c r="N924" s="8"/>
      <c r="P924" s="8"/>
      <c r="Q924" s="5"/>
      <c r="R924" s="26"/>
      <c r="S924" s="27"/>
    </row>
    <row r="925" spans="1:19" x14ac:dyDescent="0.3">
      <c r="A925">
        <v>200010076</v>
      </c>
      <c r="C925" s="22"/>
      <c r="G925" s="7"/>
      <c r="K925" s="7"/>
      <c r="M925" s="8"/>
      <c r="N925" s="8"/>
      <c r="P925" s="8"/>
      <c r="Q925" s="5"/>
      <c r="R925" s="26"/>
      <c r="S925" s="27"/>
    </row>
    <row r="926" spans="1:19" x14ac:dyDescent="0.3">
      <c r="A926">
        <v>200010076</v>
      </c>
      <c r="C926" s="22"/>
      <c r="G926" s="7"/>
      <c r="K926" s="7"/>
      <c r="M926" s="8"/>
      <c r="N926" s="8"/>
      <c r="P926" s="8"/>
      <c r="Q926" s="5"/>
      <c r="R926" s="26"/>
      <c r="S926" s="27"/>
    </row>
    <row r="927" spans="1:19" x14ac:dyDescent="0.3">
      <c r="A927">
        <v>200010076</v>
      </c>
      <c r="C927" s="22"/>
      <c r="G927" s="7"/>
      <c r="K927" s="7"/>
      <c r="M927" s="8"/>
      <c r="N927" s="8"/>
      <c r="P927" s="8"/>
      <c r="Q927" s="5"/>
      <c r="R927" s="26"/>
      <c r="S927" s="27"/>
    </row>
    <row r="928" spans="1:19" x14ac:dyDescent="0.3">
      <c r="A928">
        <v>200010076</v>
      </c>
      <c r="C928" s="22"/>
      <c r="G928" s="7"/>
      <c r="K928" s="7"/>
      <c r="M928" s="8"/>
      <c r="N928" s="8"/>
      <c r="P928" s="8"/>
      <c r="Q928" s="5"/>
      <c r="R928" s="26"/>
      <c r="S928" s="27"/>
    </row>
    <row r="929" spans="1:19" x14ac:dyDescent="0.3">
      <c r="A929">
        <v>200010076</v>
      </c>
      <c r="C929" s="22"/>
      <c r="G929" s="7"/>
      <c r="K929" s="7"/>
      <c r="M929" s="8"/>
      <c r="N929" s="8"/>
      <c r="P929" s="8"/>
      <c r="Q929" s="5"/>
      <c r="R929" s="26"/>
      <c r="S929" s="27"/>
    </row>
    <row r="930" spans="1:19" x14ac:dyDescent="0.3">
      <c r="A930">
        <v>200010076</v>
      </c>
      <c r="C930" s="22"/>
      <c r="G930" s="7"/>
      <c r="K930" s="7"/>
      <c r="M930" s="8"/>
      <c r="N930" s="8"/>
      <c r="P930" s="8"/>
      <c r="Q930" s="5"/>
      <c r="R930" s="26"/>
      <c r="S930" s="27"/>
    </row>
    <row r="931" spans="1:19" x14ac:dyDescent="0.3">
      <c r="A931">
        <v>200010076</v>
      </c>
      <c r="C931" s="22"/>
      <c r="G931" s="7"/>
      <c r="K931" s="7"/>
      <c r="M931" s="8"/>
      <c r="N931" s="8"/>
      <c r="P931" s="8"/>
      <c r="Q931" s="5"/>
      <c r="R931" s="26"/>
      <c r="S931" s="27"/>
    </row>
    <row r="932" spans="1:19" x14ac:dyDescent="0.3">
      <c r="A932">
        <v>200010076</v>
      </c>
      <c r="C932" s="22"/>
      <c r="G932" s="7"/>
      <c r="K932" s="7"/>
      <c r="M932" s="8"/>
      <c r="N932" s="8"/>
      <c r="P932" s="8"/>
      <c r="Q932" s="5"/>
      <c r="R932" s="26"/>
      <c r="S932" s="27"/>
    </row>
    <row r="933" spans="1:19" x14ac:dyDescent="0.3">
      <c r="A933">
        <v>200010076</v>
      </c>
      <c r="C933" s="22"/>
      <c r="G933" s="7"/>
      <c r="K933" s="7"/>
      <c r="M933" s="8"/>
      <c r="N933" s="8"/>
      <c r="P933" s="8"/>
      <c r="Q933" s="5"/>
      <c r="R933" s="26"/>
      <c r="S933" s="27"/>
    </row>
    <row r="934" spans="1:19" x14ac:dyDescent="0.3">
      <c r="A934">
        <v>200010076</v>
      </c>
      <c r="C934" s="22"/>
      <c r="G934" s="7"/>
      <c r="K934" s="7"/>
      <c r="M934" s="8"/>
      <c r="N934" s="8"/>
      <c r="P934" s="8"/>
      <c r="Q934" s="5"/>
      <c r="R934" s="26"/>
      <c r="S934" s="27"/>
    </row>
    <row r="935" spans="1:19" x14ac:dyDescent="0.3">
      <c r="A935">
        <v>200010076</v>
      </c>
      <c r="C935" s="22"/>
      <c r="G935" s="7"/>
      <c r="K935" s="7"/>
      <c r="M935" s="8"/>
      <c r="N935" s="8"/>
      <c r="P935" s="8"/>
      <c r="Q935" s="5"/>
      <c r="R935" s="26"/>
      <c r="S935" s="27"/>
    </row>
    <row r="936" spans="1:19" x14ac:dyDescent="0.3">
      <c r="A936">
        <v>200010076</v>
      </c>
      <c r="C936" s="22"/>
      <c r="G936" s="7"/>
      <c r="K936" s="7"/>
      <c r="M936" s="8"/>
      <c r="N936" s="8"/>
      <c r="P936" s="8"/>
      <c r="Q936" s="5"/>
      <c r="R936" s="26"/>
      <c r="S936" s="27"/>
    </row>
    <row r="937" spans="1:19" x14ac:dyDescent="0.3">
      <c r="A937">
        <v>200010076</v>
      </c>
      <c r="C937" s="22"/>
      <c r="G937" s="7"/>
      <c r="K937" s="7"/>
      <c r="M937" s="8"/>
      <c r="N937" s="8"/>
      <c r="P937" s="8"/>
      <c r="Q937" s="5"/>
      <c r="R937" s="26"/>
      <c r="S937" s="27"/>
    </row>
    <row r="938" spans="1:19" x14ac:dyDescent="0.3">
      <c r="A938">
        <v>200010076</v>
      </c>
      <c r="C938" s="22"/>
      <c r="G938" s="7"/>
      <c r="K938" s="7"/>
      <c r="M938" s="8"/>
      <c r="N938" s="8"/>
      <c r="P938" s="8"/>
      <c r="Q938" s="5"/>
      <c r="R938" s="26"/>
      <c r="S938" s="27"/>
    </row>
    <row r="939" spans="1:19" x14ac:dyDescent="0.3">
      <c r="A939">
        <v>200010076</v>
      </c>
      <c r="C939" s="22"/>
      <c r="G939" s="7"/>
      <c r="K939" s="7"/>
      <c r="M939" s="8"/>
      <c r="N939" s="8"/>
      <c r="P939" s="8"/>
      <c r="Q939" s="5"/>
      <c r="R939" s="26"/>
      <c r="S939" s="27"/>
    </row>
    <row r="940" spans="1:19" x14ac:dyDescent="0.3">
      <c r="A940">
        <v>200010076</v>
      </c>
      <c r="C940" s="22"/>
      <c r="G940" s="7"/>
      <c r="K940" s="7"/>
      <c r="M940" s="8"/>
      <c r="N940" s="8"/>
      <c r="P940" s="8"/>
      <c r="Q940" s="5"/>
      <c r="R940" s="26"/>
      <c r="S940" s="27"/>
    </row>
    <row r="941" spans="1:19" x14ac:dyDescent="0.3">
      <c r="A941">
        <v>200010076</v>
      </c>
      <c r="C941" s="22"/>
      <c r="G941" s="7"/>
      <c r="K941" s="7"/>
      <c r="M941" s="8"/>
      <c r="N941" s="8"/>
      <c r="P941" s="8"/>
      <c r="Q941" s="5"/>
      <c r="R941" s="26"/>
      <c r="S941" s="27"/>
    </row>
    <row r="942" spans="1:19" x14ac:dyDescent="0.3">
      <c r="A942">
        <v>200010076</v>
      </c>
      <c r="C942" s="22"/>
      <c r="G942" s="7"/>
      <c r="K942" s="7"/>
      <c r="M942" s="8"/>
      <c r="N942" s="8"/>
      <c r="P942" s="8"/>
      <c r="Q942" s="5"/>
      <c r="R942" s="26"/>
      <c r="S942" s="27"/>
    </row>
    <row r="943" spans="1:19" x14ac:dyDescent="0.3">
      <c r="A943">
        <v>200010076</v>
      </c>
      <c r="C943" s="22"/>
      <c r="G943" s="7"/>
      <c r="K943" s="7"/>
      <c r="M943" s="8"/>
      <c r="N943" s="8"/>
      <c r="P943" s="8"/>
      <c r="Q943" s="5"/>
      <c r="R943" s="26"/>
      <c r="S943" s="27"/>
    </row>
    <row r="944" spans="1:19" x14ac:dyDescent="0.3">
      <c r="A944">
        <v>200010076</v>
      </c>
      <c r="C944" s="22"/>
      <c r="G944" s="7"/>
      <c r="K944" s="7"/>
      <c r="M944" s="8"/>
      <c r="N944" s="8"/>
      <c r="P944" s="8"/>
      <c r="Q944" s="5"/>
      <c r="R944" s="26"/>
      <c r="S944" s="27"/>
    </row>
    <row r="945" spans="1:19" x14ac:dyDescent="0.3">
      <c r="A945">
        <v>200010076</v>
      </c>
      <c r="C945" s="22"/>
      <c r="G945" s="7"/>
      <c r="K945" s="7"/>
      <c r="M945" s="8"/>
      <c r="N945" s="8"/>
      <c r="P945" s="8"/>
      <c r="Q945" s="5"/>
      <c r="R945" s="26"/>
      <c r="S945" s="27"/>
    </row>
    <row r="946" spans="1:19" x14ac:dyDescent="0.3">
      <c r="A946">
        <v>200010076</v>
      </c>
      <c r="C946" s="22"/>
      <c r="G946" s="7"/>
      <c r="K946" s="7"/>
      <c r="M946" s="8"/>
      <c r="N946" s="8"/>
      <c r="P946" s="8"/>
      <c r="Q946" s="5"/>
      <c r="R946" s="26"/>
      <c r="S946" s="27"/>
    </row>
    <row r="947" spans="1:19" x14ac:dyDescent="0.3">
      <c r="A947">
        <v>200010076</v>
      </c>
      <c r="C947" s="22"/>
      <c r="G947" s="7"/>
      <c r="K947" s="7"/>
      <c r="M947" s="8"/>
      <c r="N947" s="8"/>
      <c r="P947" s="8"/>
      <c r="Q947" s="5"/>
      <c r="R947" s="26"/>
      <c r="S947" s="27"/>
    </row>
    <row r="948" spans="1:19" x14ac:dyDescent="0.3">
      <c r="A948">
        <v>200010076</v>
      </c>
      <c r="C948" s="22"/>
      <c r="G948" s="7"/>
      <c r="K948" s="7"/>
      <c r="M948" s="8"/>
      <c r="N948" s="8"/>
      <c r="P948" s="8"/>
      <c r="Q948" s="5"/>
      <c r="R948" s="26"/>
      <c r="S948" s="27"/>
    </row>
    <row r="949" spans="1:19" x14ac:dyDescent="0.3">
      <c r="A949">
        <v>200010076</v>
      </c>
      <c r="C949" s="22"/>
      <c r="G949" s="7"/>
      <c r="K949" s="7"/>
      <c r="M949" s="8"/>
      <c r="N949" s="8"/>
      <c r="P949" s="8"/>
      <c r="Q949" s="5"/>
      <c r="R949" s="26"/>
      <c r="S949" s="27"/>
    </row>
    <row r="950" spans="1:19" x14ac:dyDescent="0.3">
      <c r="A950">
        <v>200010076</v>
      </c>
      <c r="C950" s="22"/>
      <c r="G950" s="7"/>
      <c r="K950" s="7"/>
      <c r="M950" s="8"/>
      <c r="N950" s="8"/>
      <c r="P950" s="8"/>
      <c r="Q950" s="5"/>
      <c r="R950" s="26"/>
      <c r="S950" s="27"/>
    </row>
    <row r="951" spans="1:19" x14ac:dyDescent="0.3">
      <c r="A951">
        <v>200010076</v>
      </c>
      <c r="C951" s="22"/>
      <c r="G951" s="7"/>
      <c r="K951" s="7"/>
      <c r="M951" s="8"/>
      <c r="N951" s="8"/>
      <c r="P951" s="8"/>
      <c r="Q951" s="5"/>
      <c r="R951" s="26"/>
      <c r="S951" s="27"/>
    </row>
    <row r="952" spans="1:19" x14ac:dyDescent="0.3">
      <c r="A952">
        <v>200010076</v>
      </c>
      <c r="C952" s="22"/>
      <c r="G952" s="7"/>
      <c r="K952" s="7"/>
      <c r="M952" s="8"/>
      <c r="N952" s="8"/>
      <c r="P952" s="8"/>
      <c r="Q952" s="5"/>
      <c r="R952" s="26"/>
      <c r="S952" s="27"/>
    </row>
    <row r="953" spans="1:19" x14ac:dyDescent="0.3">
      <c r="A953">
        <v>200010076</v>
      </c>
      <c r="C953" s="22"/>
      <c r="G953" s="7"/>
      <c r="K953" s="7"/>
      <c r="M953" s="8"/>
      <c r="N953" s="8"/>
      <c r="P953" s="8"/>
      <c r="Q953" s="5"/>
      <c r="R953" s="26"/>
      <c r="S953" s="27"/>
    </row>
    <row r="954" spans="1:19" x14ac:dyDescent="0.3">
      <c r="A954">
        <v>200010076</v>
      </c>
      <c r="C954" s="22"/>
      <c r="G954" s="7"/>
      <c r="K954" s="7"/>
      <c r="M954" s="8"/>
      <c r="N954" s="8"/>
      <c r="P954" s="8"/>
      <c r="Q954" s="5"/>
      <c r="R954" s="26"/>
      <c r="S954" s="27"/>
    </row>
    <row r="955" spans="1:19" x14ac:dyDescent="0.3">
      <c r="A955">
        <v>200010076</v>
      </c>
      <c r="C955" s="22"/>
      <c r="G955" s="7"/>
      <c r="K955" s="7"/>
      <c r="M955" s="8"/>
      <c r="N955" s="8"/>
      <c r="P955" s="8"/>
      <c r="Q955" s="5"/>
      <c r="R955" s="26"/>
      <c r="S955" s="27"/>
    </row>
    <row r="956" spans="1:19" x14ac:dyDescent="0.3">
      <c r="A956">
        <v>200010076</v>
      </c>
      <c r="C956" s="22"/>
      <c r="G956" s="7"/>
      <c r="K956" s="7"/>
      <c r="M956" s="8"/>
      <c r="N956" s="8"/>
      <c r="P956" s="8"/>
      <c r="Q956" s="5"/>
      <c r="R956" s="26"/>
      <c r="S956" s="27"/>
    </row>
    <row r="957" spans="1:19" x14ac:dyDescent="0.3">
      <c r="A957">
        <v>200010076</v>
      </c>
      <c r="C957" s="22"/>
      <c r="G957" s="7"/>
      <c r="K957" s="7"/>
      <c r="M957" s="8"/>
      <c r="N957" s="8"/>
      <c r="P957" s="8"/>
      <c r="Q957" s="5"/>
      <c r="R957" s="26"/>
      <c r="S957" s="27"/>
    </row>
    <row r="958" spans="1:19" x14ac:dyDescent="0.3">
      <c r="A958">
        <v>200010076</v>
      </c>
      <c r="C958" s="22"/>
      <c r="G958" s="7"/>
      <c r="K958" s="7"/>
      <c r="M958" s="8"/>
      <c r="N958" s="8"/>
      <c r="P958" s="8"/>
      <c r="Q958" s="5"/>
      <c r="R958" s="26"/>
      <c r="S958" s="27"/>
    </row>
    <row r="959" spans="1:19" x14ac:dyDescent="0.3">
      <c r="A959">
        <v>200010076</v>
      </c>
      <c r="C959" s="22"/>
      <c r="G959" s="7"/>
      <c r="K959" s="7"/>
      <c r="M959" s="8"/>
      <c r="N959" s="8"/>
      <c r="P959" s="8"/>
      <c r="Q959" s="5"/>
      <c r="R959" s="26"/>
      <c r="S959" s="27"/>
    </row>
    <row r="960" spans="1:19" x14ac:dyDescent="0.3">
      <c r="A960">
        <v>200010076</v>
      </c>
      <c r="C960" s="22"/>
      <c r="G960" s="7"/>
      <c r="K960" s="7"/>
      <c r="M960" s="8"/>
      <c r="N960" s="8"/>
      <c r="P960" s="8"/>
      <c r="Q960" s="5"/>
      <c r="R960" s="26"/>
      <c r="S960" s="27"/>
    </row>
    <row r="961" spans="1:19" x14ac:dyDescent="0.3">
      <c r="A961">
        <v>200010076</v>
      </c>
      <c r="C961" s="22"/>
      <c r="G961" s="7"/>
      <c r="K961" s="7"/>
      <c r="M961" s="8"/>
      <c r="N961" s="8"/>
      <c r="P961" s="8"/>
      <c r="Q961" s="5"/>
      <c r="R961" s="26"/>
      <c r="S961" s="27"/>
    </row>
    <row r="962" spans="1:19" x14ac:dyDescent="0.3">
      <c r="A962">
        <v>200010076</v>
      </c>
      <c r="C962" s="22"/>
      <c r="G962" s="7"/>
      <c r="K962" s="7"/>
      <c r="M962" s="8"/>
      <c r="N962" s="8"/>
      <c r="P962" s="8"/>
      <c r="Q962" s="5"/>
      <c r="R962" s="26"/>
      <c r="S962" s="27"/>
    </row>
    <row r="963" spans="1:19" x14ac:dyDescent="0.3">
      <c r="A963">
        <v>200010076</v>
      </c>
      <c r="C963" s="22"/>
      <c r="G963" s="7"/>
      <c r="K963" s="7"/>
      <c r="M963" s="8"/>
      <c r="N963" s="8"/>
      <c r="P963" s="8"/>
      <c r="Q963" s="5"/>
      <c r="R963" s="26"/>
      <c r="S963" s="27"/>
    </row>
    <row r="964" spans="1:19" x14ac:dyDescent="0.3">
      <c r="A964">
        <v>200010076</v>
      </c>
      <c r="C964" s="22"/>
      <c r="G964" s="7"/>
      <c r="K964" s="7"/>
      <c r="M964" s="8"/>
      <c r="N964" s="8"/>
      <c r="P964" s="8"/>
      <c r="Q964" s="5"/>
      <c r="R964" s="26"/>
      <c r="S964" s="27"/>
    </row>
    <row r="965" spans="1:19" x14ac:dyDescent="0.3">
      <c r="A965">
        <v>200010076</v>
      </c>
      <c r="C965" s="22"/>
      <c r="G965" s="7"/>
      <c r="K965" s="7"/>
      <c r="M965" s="8"/>
      <c r="N965" s="8"/>
      <c r="P965" s="8"/>
      <c r="Q965" s="5"/>
      <c r="R965" s="26"/>
      <c r="S965" s="27"/>
    </row>
    <row r="966" spans="1:19" x14ac:dyDescent="0.3">
      <c r="A966">
        <v>200010076</v>
      </c>
      <c r="C966" s="22"/>
      <c r="G966" s="7"/>
      <c r="K966" s="7"/>
      <c r="M966" s="8"/>
      <c r="N966" s="8"/>
      <c r="P966" s="8"/>
      <c r="Q966" s="5"/>
      <c r="R966" s="26"/>
      <c r="S966" s="27"/>
    </row>
    <row r="967" spans="1:19" x14ac:dyDescent="0.3">
      <c r="A967">
        <v>200010076</v>
      </c>
      <c r="C967" s="22"/>
      <c r="G967" s="7"/>
      <c r="K967" s="7"/>
      <c r="M967" s="8"/>
      <c r="N967" s="8"/>
      <c r="P967" s="8"/>
      <c r="Q967" s="5"/>
      <c r="R967" s="26"/>
      <c r="S967" s="27"/>
    </row>
    <row r="968" spans="1:19" x14ac:dyDescent="0.3">
      <c r="A968">
        <v>200010076</v>
      </c>
      <c r="C968" s="22"/>
      <c r="G968" s="7"/>
      <c r="K968" s="7"/>
      <c r="M968" s="8"/>
      <c r="N968" s="8"/>
      <c r="P968" s="8"/>
      <c r="Q968" s="5"/>
      <c r="R968" s="26"/>
      <c r="S968" s="27"/>
    </row>
    <row r="969" spans="1:19" x14ac:dyDescent="0.3">
      <c r="A969">
        <v>200010076</v>
      </c>
      <c r="C969" s="22"/>
      <c r="G969" s="7"/>
      <c r="K969" s="7"/>
      <c r="M969" s="8"/>
      <c r="N969" s="8"/>
      <c r="P969" s="8"/>
      <c r="Q969" s="5"/>
      <c r="R969" s="26"/>
      <c r="S969" s="27"/>
    </row>
    <row r="970" spans="1:19" x14ac:dyDescent="0.3">
      <c r="A970">
        <v>200010076</v>
      </c>
      <c r="C970" s="22"/>
      <c r="G970" s="7"/>
      <c r="K970" s="7"/>
      <c r="M970" s="8"/>
      <c r="N970" s="8"/>
      <c r="P970" s="8"/>
      <c r="Q970" s="5"/>
      <c r="R970" s="26"/>
      <c r="S970" s="27"/>
    </row>
    <row r="971" spans="1:19" x14ac:dyDescent="0.3">
      <c r="A971">
        <v>200010076</v>
      </c>
      <c r="C971" s="22"/>
      <c r="G971" s="7"/>
      <c r="K971" s="7"/>
      <c r="M971" s="8"/>
      <c r="N971" s="8"/>
      <c r="P971" s="8"/>
      <c r="Q971" s="5"/>
      <c r="R971" s="26"/>
      <c r="S971" s="27"/>
    </row>
    <row r="972" spans="1:19" x14ac:dyDescent="0.3">
      <c r="A972">
        <v>200010076</v>
      </c>
      <c r="C972" s="22"/>
      <c r="G972" s="7"/>
      <c r="K972" s="7"/>
      <c r="M972" s="8"/>
      <c r="N972" s="8"/>
      <c r="P972" s="8"/>
      <c r="Q972" s="5"/>
      <c r="R972" s="26"/>
      <c r="S972" s="27"/>
    </row>
    <row r="973" spans="1:19" x14ac:dyDescent="0.3">
      <c r="A973">
        <v>200010076</v>
      </c>
      <c r="C973" s="22"/>
      <c r="G973" s="7"/>
      <c r="K973" s="7"/>
      <c r="M973" s="8"/>
      <c r="N973" s="8"/>
      <c r="P973" s="8"/>
      <c r="Q973" s="5"/>
      <c r="R973" s="26"/>
      <c r="S973" s="27"/>
    </row>
    <row r="974" spans="1:19" x14ac:dyDescent="0.3">
      <c r="A974">
        <v>200010076</v>
      </c>
      <c r="C974" s="22"/>
      <c r="G974" s="7"/>
      <c r="K974" s="7"/>
      <c r="M974" s="8"/>
      <c r="N974" s="8"/>
      <c r="P974" s="8"/>
      <c r="Q974" s="5"/>
      <c r="R974" s="26"/>
      <c r="S974" s="27"/>
    </row>
    <row r="975" spans="1:19" x14ac:dyDescent="0.3">
      <c r="A975">
        <v>200010076</v>
      </c>
      <c r="C975" s="22"/>
      <c r="G975" s="7"/>
      <c r="K975" s="7"/>
      <c r="M975" s="8"/>
      <c r="N975" s="8"/>
      <c r="P975" s="8"/>
      <c r="Q975" s="5"/>
      <c r="R975" s="26"/>
      <c r="S975" s="27"/>
    </row>
    <row r="976" spans="1:19" x14ac:dyDescent="0.3">
      <c r="A976">
        <v>200010076</v>
      </c>
      <c r="C976" s="22"/>
      <c r="G976" s="7"/>
      <c r="K976" s="7"/>
      <c r="M976" s="8"/>
      <c r="N976" s="8"/>
      <c r="P976" s="8"/>
      <c r="Q976" s="5"/>
      <c r="R976" s="26"/>
      <c r="S976" s="27"/>
    </row>
    <row r="977" spans="1:19" x14ac:dyDescent="0.3">
      <c r="A977">
        <v>200010076</v>
      </c>
      <c r="C977" s="22"/>
      <c r="G977" s="7"/>
      <c r="K977" s="7"/>
      <c r="M977" s="8"/>
      <c r="N977" s="8"/>
      <c r="P977" s="8"/>
      <c r="Q977" s="5"/>
      <c r="R977" s="26"/>
      <c r="S977" s="27"/>
    </row>
    <row r="978" spans="1:19" x14ac:dyDescent="0.3">
      <c r="A978">
        <v>200010076</v>
      </c>
      <c r="C978" s="22"/>
      <c r="G978" s="7"/>
      <c r="K978" s="7"/>
      <c r="M978" s="8"/>
      <c r="N978" s="8"/>
      <c r="P978" s="8"/>
      <c r="Q978" s="5"/>
      <c r="R978" s="26"/>
      <c r="S978" s="27"/>
    </row>
    <row r="979" spans="1:19" x14ac:dyDescent="0.3">
      <c r="A979">
        <v>200010076</v>
      </c>
      <c r="C979" s="22"/>
      <c r="G979" s="7"/>
      <c r="K979" s="7"/>
      <c r="M979" s="8"/>
      <c r="N979" s="8"/>
      <c r="P979" s="8"/>
      <c r="Q979" s="5"/>
      <c r="R979" s="26"/>
      <c r="S979" s="27"/>
    </row>
    <row r="980" spans="1:19" x14ac:dyDescent="0.3">
      <c r="A980">
        <v>200010076</v>
      </c>
      <c r="C980" s="22"/>
      <c r="G980" s="7"/>
      <c r="K980" s="7"/>
      <c r="M980" s="8"/>
      <c r="N980" s="8"/>
      <c r="P980" s="8"/>
      <c r="Q980" s="5"/>
      <c r="R980" s="26"/>
      <c r="S980" s="27"/>
    </row>
    <row r="981" spans="1:19" x14ac:dyDescent="0.3">
      <c r="A981">
        <v>200010076</v>
      </c>
      <c r="C981" s="22"/>
      <c r="G981" s="7"/>
      <c r="K981" s="7"/>
      <c r="M981" s="8"/>
      <c r="N981" s="8"/>
      <c r="P981" s="8"/>
      <c r="Q981" s="5"/>
      <c r="R981" s="26"/>
      <c r="S981" s="27"/>
    </row>
    <row r="982" spans="1:19" x14ac:dyDescent="0.3">
      <c r="A982">
        <v>200010076</v>
      </c>
      <c r="C982" s="22"/>
      <c r="G982" s="7"/>
      <c r="K982" s="7"/>
      <c r="M982" s="8"/>
      <c r="N982" s="8"/>
      <c r="P982" s="8"/>
      <c r="Q982" s="5"/>
      <c r="R982" s="26"/>
      <c r="S982" s="27"/>
    </row>
    <row r="983" spans="1:19" x14ac:dyDescent="0.3">
      <c r="A983">
        <v>200010076</v>
      </c>
      <c r="C983" s="22"/>
      <c r="G983" s="7"/>
      <c r="K983" s="7"/>
      <c r="M983" s="8"/>
      <c r="N983" s="8"/>
      <c r="P983" s="8"/>
      <c r="Q983" s="5"/>
      <c r="R983" s="26"/>
      <c r="S983" s="27"/>
    </row>
    <row r="984" spans="1:19" x14ac:dyDescent="0.3">
      <c r="A984">
        <v>200010076</v>
      </c>
      <c r="C984" s="22"/>
      <c r="G984" s="7"/>
      <c r="K984" s="7"/>
      <c r="M984" s="8"/>
      <c r="N984" s="8"/>
      <c r="P984" s="8"/>
      <c r="Q984" s="5"/>
      <c r="R984" s="26"/>
      <c r="S984" s="27"/>
    </row>
    <row r="985" spans="1:19" x14ac:dyDescent="0.3">
      <c r="A985">
        <v>200010076</v>
      </c>
      <c r="C985" s="22"/>
      <c r="G985" s="7"/>
      <c r="K985" s="7"/>
      <c r="M985" s="8"/>
      <c r="N985" s="8"/>
      <c r="P985" s="8"/>
      <c r="Q985" s="5"/>
      <c r="R985" s="26"/>
      <c r="S985" s="27"/>
    </row>
    <row r="986" spans="1:19" x14ac:dyDescent="0.3">
      <c r="A986">
        <v>200010076</v>
      </c>
      <c r="C986" s="22"/>
      <c r="G986" s="7"/>
      <c r="K986" s="7"/>
      <c r="M986" s="8"/>
      <c r="N986" s="8"/>
      <c r="P986" s="8"/>
      <c r="Q986" s="5"/>
      <c r="R986" s="26"/>
      <c r="S986" s="27"/>
    </row>
    <row r="987" spans="1:19" x14ac:dyDescent="0.3">
      <c r="A987">
        <v>200010076</v>
      </c>
      <c r="C987" s="22"/>
      <c r="G987" s="7"/>
      <c r="K987" s="7"/>
      <c r="M987" s="8"/>
      <c r="N987" s="8"/>
      <c r="P987" s="8"/>
      <c r="Q987" s="5"/>
      <c r="R987" s="26"/>
      <c r="S987" s="27"/>
    </row>
    <row r="988" spans="1:19" x14ac:dyDescent="0.3">
      <c r="A988">
        <v>200010076</v>
      </c>
      <c r="C988" s="22"/>
      <c r="G988" s="7"/>
      <c r="K988" s="7"/>
      <c r="M988" s="8"/>
      <c r="N988" s="8"/>
      <c r="P988" s="8"/>
      <c r="Q988" s="5"/>
      <c r="R988" s="26"/>
      <c r="S988" s="27"/>
    </row>
    <row r="989" spans="1:19" x14ac:dyDescent="0.3">
      <c r="A989">
        <v>200010076</v>
      </c>
      <c r="C989" s="22"/>
      <c r="G989" s="7"/>
      <c r="K989" s="7"/>
      <c r="M989" s="8"/>
      <c r="N989" s="8"/>
      <c r="P989" s="8"/>
      <c r="Q989" s="5"/>
      <c r="R989" s="26"/>
      <c r="S989" s="27"/>
    </row>
    <row r="990" spans="1:19" x14ac:dyDescent="0.3">
      <c r="A990">
        <v>200010076</v>
      </c>
      <c r="C990" s="22"/>
      <c r="G990" s="7"/>
      <c r="K990" s="7"/>
      <c r="M990" s="8"/>
      <c r="N990" s="8"/>
      <c r="P990" s="8"/>
      <c r="Q990" s="5"/>
      <c r="R990" s="26"/>
      <c r="S990" s="27"/>
    </row>
    <row r="991" spans="1:19" x14ac:dyDescent="0.3">
      <c r="A991">
        <v>200010076</v>
      </c>
      <c r="C991" s="22"/>
      <c r="G991" s="7"/>
      <c r="K991" s="7"/>
      <c r="M991" s="8"/>
      <c r="N991" s="8"/>
      <c r="P991" s="8"/>
      <c r="Q991" s="5"/>
      <c r="R991" s="26"/>
      <c r="S991" s="27"/>
    </row>
    <row r="992" spans="1:19" x14ac:dyDescent="0.3">
      <c r="A992">
        <v>200010076</v>
      </c>
      <c r="C992" s="22"/>
      <c r="G992" s="7"/>
      <c r="K992" s="7"/>
      <c r="M992" s="8"/>
      <c r="N992" s="8"/>
      <c r="P992" s="8"/>
      <c r="Q992" s="5"/>
      <c r="R992" s="26"/>
      <c r="S992" s="27"/>
    </row>
    <row r="993" spans="1:19" x14ac:dyDescent="0.3">
      <c r="A993">
        <v>200010076</v>
      </c>
      <c r="C993" s="22"/>
      <c r="G993" s="7"/>
      <c r="K993" s="7"/>
      <c r="M993" s="8"/>
      <c r="N993" s="8"/>
      <c r="P993" s="8"/>
      <c r="Q993" s="5"/>
      <c r="R993" s="26"/>
      <c r="S993" s="27"/>
    </row>
    <row r="994" spans="1:19" x14ac:dyDescent="0.3">
      <c r="A994">
        <v>200010076</v>
      </c>
      <c r="C994" s="22"/>
      <c r="G994" s="7"/>
      <c r="K994" s="7"/>
      <c r="M994" s="8"/>
      <c r="N994" s="8"/>
      <c r="P994" s="8"/>
      <c r="Q994" s="5"/>
      <c r="R994" s="26"/>
      <c r="S994" s="27"/>
    </row>
    <row r="995" spans="1:19" x14ac:dyDescent="0.3">
      <c r="A995">
        <v>200010076</v>
      </c>
      <c r="C995" s="22"/>
      <c r="G995" s="7"/>
      <c r="K995" s="7"/>
      <c r="M995" s="8"/>
      <c r="N995" s="8"/>
      <c r="P995" s="8"/>
      <c r="Q995" s="5"/>
      <c r="R995" s="26"/>
      <c r="S995" s="27"/>
    </row>
    <row r="996" spans="1:19" x14ac:dyDescent="0.3">
      <c r="A996">
        <v>200010076</v>
      </c>
      <c r="C996" s="22"/>
      <c r="G996" s="7"/>
      <c r="K996" s="7"/>
      <c r="M996" s="8"/>
      <c r="N996" s="8"/>
      <c r="P996" s="8"/>
      <c r="Q996" s="5"/>
      <c r="R996" s="26"/>
      <c r="S996" s="27"/>
    </row>
    <row r="997" spans="1:19" x14ac:dyDescent="0.3">
      <c r="A997">
        <v>200010076</v>
      </c>
      <c r="C997" s="22"/>
      <c r="G997" s="7"/>
      <c r="K997" s="7"/>
      <c r="M997" s="8"/>
      <c r="N997" s="8"/>
      <c r="P997" s="8"/>
      <c r="Q997" s="5"/>
      <c r="R997" s="26"/>
      <c r="S997" s="27"/>
    </row>
    <row r="998" spans="1:19" x14ac:dyDescent="0.3">
      <c r="A998">
        <v>200010076</v>
      </c>
      <c r="C998" s="22"/>
      <c r="G998" s="7"/>
      <c r="K998" s="7"/>
      <c r="M998" s="8"/>
      <c r="N998" s="8"/>
      <c r="P998" s="8"/>
      <c r="Q998" s="5"/>
      <c r="R998" s="26"/>
      <c r="S998" s="27"/>
    </row>
    <row r="999" spans="1:19" x14ac:dyDescent="0.3">
      <c r="A999">
        <v>200010076</v>
      </c>
      <c r="C999" s="22"/>
      <c r="G999" s="7"/>
      <c r="K999" s="7"/>
      <c r="M999" s="8"/>
      <c r="N999" s="8"/>
      <c r="P999" s="8"/>
      <c r="Q999" s="5"/>
      <c r="R999" s="26"/>
      <c r="S999" s="27"/>
    </row>
    <row r="1000" spans="1:19" x14ac:dyDescent="0.3">
      <c r="A1000">
        <v>200010076</v>
      </c>
      <c r="C1000" s="22"/>
      <c r="G1000" s="7"/>
      <c r="K1000" s="7"/>
      <c r="M1000" s="8"/>
      <c r="N1000" s="8"/>
      <c r="P1000" s="8"/>
      <c r="Q1000" s="5"/>
      <c r="R1000" s="26"/>
      <c r="S1000" s="27"/>
    </row>
    <row r="1001" spans="1:19" x14ac:dyDescent="0.3">
      <c r="A1001">
        <v>200010076</v>
      </c>
      <c r="C1001" s="22"/>
      <c r="G1001" s="7"/>
      <c r="K1001" s="7"/>
      <c r="M1001" s="8"/>
      <c r="N1001" s="8"/>
      <c r="P1001" s="8"/>
      <c r="Q1001" s="5"/>
      <c r="R1001" s="26"/>
      <c r="S1001" s="27"/>
    </row>
    <row r="1002" spans="1:19" x14ac:dyDescent="0.3">
      <c r="A1002">
        <v>200010076</v>
      </c>
      <c r="C1002" s="22"/>
      <c r="G1002" s="7"/>
      <c r="K1002" s="7"/>
      <c r="M1002" s="8"/>
      <c r="N1002" s="8"/>
      <c r="P1002" s="8"/>
      <c r="Q1002" s="5"/>
      <c r="R1002" s="26"/>
      <c r="S1002" s="27"/>
    </row>
    <row r="1003" spans="1:19" x14ac:dyDescent="0.3">
      <c r="A1003">
        <v>200010076</v>
      </c>
      <c r="C1003" s="22"/>
      <c r="G1003" s="7"/>
      <c r="K1003" s="7"/>
      <c r="M1003" s="8"/>
      <c r="N1003" s="8"/>
      <c r="P1003" s="8"/>
      <c r="Q1003" s="5"/>
      <c r="R1003" s="26"/>
      <c r="S1003" s="27"/>
    </row>
    <row r="1004" spans="1:19" x14ac:dyDescent="0.3">
      <c r="A1004">
        <v>200010076</v>
      </c>
      <c r="C1004" s="22"/>
      <c r="G1004" s="7"/>
      <c r="K1004" s="7"/>
      <c r="M1004" s="8"/>
      <c r="N1004" s="8"/>
      <c r="P1004" s="8"/>
      <c r="Q1004" s="5"/>
      <c r="R1004" s="26"/>
      <c r="S1004" s="27"/>
    </row>
    <row r="1005" spans="1:19" x14ac:dyDescent="0.3">
      <c r="A1005">
        <v>200010076</v>
      </c>
      <c r="C1005" s="22"/>
      <c r="G1005" s="7"/>
      <c r="K1005" s="7"/>
      <c r="M1005" s="8"/>
      <c r="N1005" s="8"/>
      <c r="P1005" s="8"/>
      <c r="Q1005" s="5"/>
      <c r="R1005" s="26"/>
      <c r="S1005" s="27"/>
    </row>
    <row r="1006" spans="1:19" x14ac:dyDescent="0.3">
      <c r="A1006">
        <v>200010076</v>
      </c>
      <c r="C1006" s="22"/>
      <c r="G1006" s="7"/>
      <c r="K1006" s="7"/>
      <c r="M1006" s="8"/>
      <c r="N1006" s="8"/>
      <c r="P1006" s="8"/>
      <c r="Q1006" s="5"/>
      <c r="R1006" s="26"/>
      <c r="S1006" s="27"/>
    </row>
    <row r="1007" spans="1:19" x14ac:dyDescent="0.3">
      <c r="A1007">
        <v>200010076</v>
      </c>
      <c r="C1007" s="22"/>
      <c r="G1007" s="7"/>
      <c r="K1007" s="7"/>
      <c r="M1007" s="8"/>
      <c r="N1007" s="8"/>
      <c r="P1007" s="8"/>
      <c r="Q1007" s="5"/>
      <c r="R1007" s="26"/>
      <c r="S1007" s="27"/>
    </row>
    <row r="1008" spans="1:19" x14ac:dyDescent="0.3">
      <c r="A1008">
        <v>200010076</v>
      </c>
      <c r="C1008" s="22"/>
      <c r="G1008" s="7"/>
      <c r="K1008" s="7"/>
      <c r="M1008" s="8"/>
      <c r="N1008" s="8"/>
      <c r="P1008" s="8"/>
      <c r="Q1008" s="5"/>
      <c r="R1008" s="26"/>
      <c r="S1008" s="27"/>
    </row>
    <row r="1009" spans="1:19" x14ac:dyDescent="0.3">
      <c r="A1009">
        <v>200010076</v>
      </c>
      <c r="C1009" s="22"/>
      <c r="G1009" s="7"/>
      <c r="K1009" s="7"/>
      <c r="M1009" s="8"/>
      <c r="N1009" s="8"/>
      <c r="P1009" s="8"/>
      <c r="Q1009" s="5"/>
      <c r="R1009" s="26"/>
      <c r="S1009" s="27"/>
    </row>
    <row r="1010" spans="1:19" x14ac:dyDescent="0.3">
      <c r="A1010">
        <v>200010076</v>
      </c>
      <c r="C1010" s="22"/>
      <c r="G1010" s="7"/>
      <c r="K1010" s="7"/>
      <c r="M1010" s="8"/>
      <c r="N1010" s="8"/>
      <c r="P1010" s="8"/>
      <c r="Q1010" s="5"/>
      <c r="R1010" s="26"/>
      <c r="S1010" s="27"/>
    </row>
    <row r="1011" spans="1:19" x14ac:dyDescent="0.3">
      <c r="A1011">
        <v>200010076</v>
      </c>
      <c r="C1011" s="22"/>
      <c r="G1011" s="7"/>
      <c r="K1011" s="7"/>
      <c r="M1011" s="8"/>
      <c r="N1011" s="8"/>
      <c r="P1011" s="8"/>
      <c r="Q1011" s="5"/>
      <c r="R1011" s="26"/>
      <c r="S1011" s="27"/>
    </row>
    <row r="1012" spans="1:19" x14ac:dyDescent="0.3">
      <c r="A1012">
        <v>200010076</v>
      </c>
      <c r="C1012" s="22"/>
      <c r="G1012" s="7"/>
      <c r="K1012" s="7"/>
      <c r="M1012" s="8"/>
      <c r="N1012" s="8"/>
      <c r="P1012" s="8"/>
      <c r="Q1012" s="5"/>
      <c r="R1012" s="26"/>
      <c r="S1012" s="27"/>
    </row>
    <row r="1013" spans="1:19" x14ac:dyDescent="0.3">
      <c r="A1013">
        <v>200010076</v>
      </c>
      <c r="C1013" s="22"/>
      <c r="G1013" s="7"/>
      <c r="K1013" s="7"/>
      <c r="M1013" s="8"/>
      <c r="N1013" s="8"/>
      <c r="P1013" s="8"/>
      <c r="Q1013" s="5"/>
      <c r="R1013" s="26"/>
      <c r="S1013" s="27"/>
    </row>
    <row r="1014" spans="1:19" x14ac:dyDescent="0.3">
      <c r="A1014">
        <v>200010076</v>
      </c>
      <c r="C1014" s="22"/>
      <c r="G1014" s="7"/>
      <c r="K1014" s="7"/>
      <c r="M1014" s="8"/>
      <c r="N1014" s="8"/>
      <c r="P1014" s="8"/>
      <c r="Q1014" s="5"/>
      <c r="R1014" s="26"/>
      <c r="S1014" s="27"/>
    </row>
    <row r="1015" spans="1:19" x14ac:dyDescent="0.3">
      <c r="A1015">
        <v>200010076</v>
      </c>
      <c r="C1015" s="22"/>
      <c r="G1015" s="7"/>
      <c r="K1015" s="7"/>
      <c r="M1015" s="8"/>
      <c r="N1015" s="8"/>
      <c r="P1015" s="8"/>
      <c r="Q1015" s="5"/>
      <c r="R1015" s="26"/>
      <c r="S1015" s="27"/>
    </row>
    <row r="1016" spans="1:19" x14ac:dyDescent="0.3">
      <c r="A1016">
        <v>200010076</v>
      </c>
      <c r="C1016" s="22"/>
      <c r="G1016" s="7"/>
      <c r="K1016" s="7"/>
      <c r="M1016" s="8"/>
      <c r="N1016" s="8"/>
      <c r="P1016" s="8"/>
      <c r="Q1016" s="5"/>
      <c r="R1016" s="26"/>
      <c r="S1016" s="27"/>
    </row>
    <row r="1017" spans="1:19" x14ac:dyDescent="0.3">
      <c r="A1017">
        <v>200010076</v>
      </c>
      <c r="C1017" s="22"/>
      <c r="G1017" s="7"/>
      <c r="K1017" s="7"/>
      <c r="M1017" s="8"/>
      <c r="N1017" s="8"/>
      <c r="P1017" s="8"/>
      <c r="Q1017" s="5"/>
      <c r="R1017" s="26"/>
      <c r="S1017" s="27"/>
    </row>
    <row r="1018" spans="1:19" x14ac:dyDescent="0.3">
      <c r="A1018">
        <v>200010076</v>
      </c>
      <c r="C1018" s="22"/>
      <c r="G1018" s="7"/>
      <c r="K1018" s="7"/>
      <c r="M1018" s="8"/>
      <c r="N1018" s="8"/>
      <c r="P1018" s="8"/>
      <c r="Q1018" s="5"/>
      <c r="R1018" s="26"/>
      <c r="S1018" s="27"/>
    </row>
    <row r="1019" spans="1:19" x14ac:dyDescent="0.3">
      <c r="A1019">
        <v>200010076</v>
      </c>
      <c r="C1019" s="22"/>
      <c r="G1019" s="7"/>
      <c r="K1019" s="7"/>
      <c r="M1019" s="8"/>
      <c r="N1019" s="8"/>
      <c r="P1019" s="8"/>
      <c r="Q1019" s="5"/>
      <c r="R1019" s="26"/>
      <c r="S1019" s="27"/>
    </row>
    <row r="1020" spans="1:19" x14ac:dyDescent="0.3">
      <c r="A1020">
        <v>200010076</v>
      </c>
      <c r="C1020" s="22"/>
      <c r="G1020" s="7"/>
      <c r="K1020" s="7"/>
      <c r="M1020" s="8"/>
      <c r="N1020" s="8"/>
      <c r="P1020" s="8"/>
      <c r="Q1020" s="5"/>
      <c r="R1020" s="26"/>
      <c r="S1020" s="27"/>
    </row>
    <row r="1021" spans="1:19" x14ac:dyDescent="0.3">
      <c r="A1021">
        <v>200010076</v>
      </c>
      <c r="C1021" s="22"/>
      <c r="G1021" s="7"/>
      <c r="K1021" s="7"/>
      <c r="M1021" s="8"/>
      <c r="N1021" s="8"/>
      <c r="P1021" s="8"/>
      <c r="Q1021" s="5"/>
      <c r="R1021" s="26"/>
      <c r="S1021" s="27"/>
    </row>
    <row r="1022" spans="1:19" x14ac:dyDescent="0.3">
      <c r="A1022">
        <v>200010076</v>
      </c>
      <c r="C1022" s="22"/>
      <c r="G1022" s="7"/>
      <c r="K1022" s="7"/>
      <c r="M1022" s="8"/>
      <c r="N1022" s="8"/>
      <c r="P1022" s="8"/>
      <c r="Q1022" s="5"/>
      <c r="R1022" s="26"/>
      <c r="S1022" s="27"/>
    </row>
    <row r="1023" spans="1:19" x14ac:dyDescent="0.3">
      <c r="A1023">
        <v>200010076</v>
      </c>
      <c r="C1023" s="22"/>
      <c r="G1023" s="7"/>
      <c r="K1023" s="7"/>
      <c r="M1023" s="8"/>
      <c r="N1023" s="8"/>
      <c r="P1023" s="8"/>
      <c r="Q1023" s="5"/>
      <c r="R1023" s="26"/>
      <c r="S1023" s="27"/>
    </row>
    <row r="1024" spans="1:19" x14ac:dyDescent="0.3">
      <c r="A1024">
        <v>200010076</v>
      </c>
      <c r="C1024" s="22"/>
      <c r="G1024" s="7"/>
      <c r="K1024" s="7"/>
      <c r="M1024" s="8"/>
      <c r="N1024" s="8"/>
      <c r="P1024" s="8"/>
      <c r="Q1024" s="5"/>
      <c r="R1024" s="26"/>
      <c r="S1024" s="27"/>
    </row>
    <row r="1025" spans="1:19" x14ac:dyDescent="0.3">
      <c r="A1025">
        <v>200010076</v>
      </c>
      <c r="C1025" s="22"/>
      <c r="G1025" s="7"/>
      <c r="K1025" s="7"/>
      <c r="M1025" s="8"/>
      <c r="N1025" s="8"/>
      <c r="P1025" s="8"/>
      <c r="Q1025" s="5"/>
      <c r="R1025" s="26"/>
      <c r="S1025" s="27"/>
    </row>
    <row r="1026" spans="1:19" x14ac:dyDescent="0.3">
      <c r="A1026">
        <v>200010076</v>
      </c>
      <c r="C1026" s="22"/>
      <c r="G1026" s="7"/>
      <c r="K1026" s="7"/>
      <c r="M1026" s="8"/>
      <c r="N1026" s="8"/>
      <c r="P1026" s="8"/>
      <c r="Q1026" s="5"/>
      <c r="R1026" s="26"/>
      <c r="S1026" s="27"/>
    </row>
    <row r="1027" spans="1:19" x14ac:dyDescent="0.3">
      <c r="A1027">
        <v>200010076</v>
      </c>
      <c r="C1027" s="22"/>
      <c r="G1027" s="7"/>
      <c r="K1027" s="7"/>
      <c r="M1027" s="8"/>
      <c r="N1027" s="8"/>
      <c r="P1027" s="8"/>
      <c r="Q1027" s="5"/>
      <c r="R1027" s="26"/>
      <c r="S1027" s="27"/>
    </row>
    <row r="1028" spans="1:19" x14ac:dyDescent="0.3">
      <c r="A1028">
        <v>200010076</v>
      </c>
      <c r="C1028" s="22"/>
      <c r="G1028" s="7"/>
      <c r="K1028" s="7"/>
      <c r="M1028" s="8"/>
      <c r="N1028" s="8"/>
      <c r="P1028" s="8"/>
      <c r="Q1028" s="5"/>
      <c r="R1028" s="26"/>
      <c r="S1028" s="27"/>
    </row>
    <row r="1029" spans="1:19" x14ac:dyDescent="0.3">
      <c r="A1029">
        <v>200010076</v>
      </c>
      <c r="C1029" s="22"/>
      <c r="G1029" s="7"/>
      <c r="K1029" s="7"/>
      <c r="M1029" s="8"/>
      <c r="N1029" s="8"/>
      <c r="P1029" s="8"/>
      <c r="Q1029" s="5"/>
      <c r="R1029" s="26"/>
      <c r="S1029" s="27"/>
    </row>
    <row r="1030" spans="1:19" x14ac:dyDescent="0.3">
      <c r="A1030">
        <v>200010076</v>
      </c>
      <c r="C1030" s="22"/>
      <c r="G1030" s="7"/>
      <c r="K1030" s="7"/>
      <c r="M1030" s="8"/>
      <c r="N1030" s="8"/>
      <c r="P1030" s="8"/>
      <c r="Q1030" s="5"/>
      <c r="R1030" s="26"/>
      <c r="S1030" s="27"/>
    </row>
    <row r="1031" spans="1:19" x14ac:dyDescent="0.3">
      <c r="A1031">
        <v>200010076</v>
      </c>
      <c r="C1031" s="22"/>
      <c r="G1031" s="7"/>
      <c r="K1031" s="7"/>
      <c r="M1031" s="8"/>
      <c r="N1031" s="8"/>
      <c r="P1031" s="8"/>
      <c r="Q1031" s="5"/>
      <c r="R1031" s="26"/>
      <c r="S1031" s="27"/>
    </row>
    <row r="1032" spans="1:19" x14ac:dyDescent="0.3">
      <c r="A1032">
        <v>200010076</v>
      </c>
      <c r="C1032" s="22"/>
      <c r="G1032" s="7"/>
      <c r="K1032" s="7"/>
      <c r="M1032" s="8"/>
      <c r="N1032" s="8"/>
      <c r="P1032" s="8"/>
      <c r="Q1032" s="5"/>
      <c r="R1032" s="26"/>
      <c r="S1032" s="27"/>
    </row>
    <row r="1033" spans="1:19" x14ac:dyDescent="0.3">
      <c r="A1033">
        <v>200010076</v>
      </c>
      <c r="C1033" s="22"/>
      <c r="G1033" s="7"/>
      <c r="K1033" s="7"/>
      <c r="M1033" s="8"/>
      <c r="N1033" s="8"/>
      <c r="P1033" s="8"/>
      <c r="Q1033" s="5"/>
      <c r="R1033" s="26"/>
      <c r="S1033" s="27"/>
    </row>
    <row r="1034" spans="1:19" x14ac:dyDescent="0.3">
      <c r="A1034">
        <v>200010076</v>
      </c>
      <c r="C1034" s="22"/>
      <c r="G1034" s="7"/>
      <c r="K1034" s="7"/>
      <c r="M1034" s="8"/>
      <c r="N1034" s="8"/>
      <c r="P1034" s="8"/>
      <c r="Q1034" s="5"/>
      <c r="R1034" s="26"/>
      <c r="S1034" s="27"/>
    </row>
    <row r="1035" spans="1:19" x14ac:dyDescent="0.3">
      <c r="A1035">
        <v>200010076</v>
      </c>
      <c r="C1035" s="22"/>
      <c r="G1035" s="7"/>
      <c r="K1035" s="7"/>
      <c r="M1035" s="8"/>
      <c r="N1035" s="8"/>
      <c r="P1035" s="8"/>
      <c r="Q1035" s="5"/>
      <c r="R1035" s="26"/>
      <c r="S1035" s="27"/>
    </row>
    <row r="1036" spans="1:19" x14ac:dyDescent="0.3">
      <c r="A1036">
        <v>200010076</v>
      </c>
      <c r="C1036" s="22"/>
      <c r="G1036" s="7"/>
      <c r="K1036" s="7"/>
      <c r="M1036" s="8"/>
      <c r="N1036" s="8"/>
      <c r="P1036" s="8"/>
      <c r="Q1036" s="5"/>
      <c r="R1036" s="26"/>
      <c r="S1036" s="27"/>
    </row>
    <row r="1037" spans="1:19" x14ac:dyDescent="0.3">
      <c r="A1037">
        <v>200010076</v>
      </c>
      <c r="C1037" s="22"/>
      <c r="G1037" s="7"/>
      <c r="K1037" s="7"/>
      <c r="M1037" s="8"/>
      <c r="N1037" s="8"/>
      <c r="P1037" s="8"/>
      <c r="Q1037" s="5"/>
      <c r="R1037" s="26"/>
      <c r="S1037" s="27"/>
    </row>
    <row r="1038" spans="1:19" x14ac:dyDescent="0.3">
      <c r="A1038">
        <v>200010076</v>
      </c>
      <c r="C1038" s="22"/>
      <c r="G1038" s="7"/>
      <c r="K1038" s="7"/>
      <c r="M1038" s="8"/>
      <c r="N1038" s="8"/>
      <c r="P1038" s="8"/>
      <c r="Q1038" s="5"/>
      <c r="R1038" s="26"/>
      <c r="S1038" s="27"/>
    </row>
    <row r="1039" spans="1:19" x14ac:dyDescent="0.3">
      <c r="A1039">
        <v>200010076</v>
      </c>
      <c r="C1039" s="22"/>
      <c r="G1039" s="7"/>
      <c r="K1039" s="7"/>
      <c r="M1039" s="8"/>
      <c r="N1039" s="8"/>
      <c r="P1039" s="8"/>
      <c r="Q1039" s="5"/>
      <c r="R1039" s="26"/>
      <c r="S1039" s="27"/>
    </row>
    <row r="1040" spans="1:19" x14ac:dyDescent="0.3">
      <c r="A1040">
        <v>200010076</v>
      </c>
      <c r="C1040" s="22"/>
      <c r="G1040" s="7"/>
      <c r="K1040" s="7"/>
      <c r="M1040" s="8"/>
      <c r="N1040" s="8"/>
      <c r="P1040" s="8"/>
      <c r="Q1040" s="5"/>
      <c r="R1040" s="26"/>
      <c r="S1040" s="27"/>
    </row>
    <row r="1041" spans="1:19" x14ac:dyDescent="0.3">
      <c r="A1041">
        <v>200010076</v>
      </c>
      <c r="C1041" s="22"/>
      <c r="G1041" s="7"/>
      <c r="K1041" s="7"/>
      <c r="M1041" s="8"/>
      <c r="N1041" s="8"/>
      <c r="P1041" s="8"/>
      <c r="Q1041" s="5"/>
      <c r="R1041" s="26"/>
      <c r="S1041" s="27"/>
    </row>
    <row r="1042" spans="1:19" x14ac:dyDescent="0.3">
      <c r="A1042">
        <v>200010076</v>
      </c>
      <c r="C1042" s="22"/>
      <c r="G1042" s="7"/>
      <c r="K1042" s="7"/>
      <c r="M1042" s="8"/>
      <c r="N1042" s="8"/>
      <c r="P1042" s="8"/>
      <c r="Q1042" s="5"/>
      <c r="R1042" s="26"/>
      <c r="S1042" s="27"/>
    </row>
    <row r="1043" spans="1:19" x14ac:dyDescent="0.3">
      <c r="A1043">
        <v>200010076</v>
      </c>
      <c r="C1043" s="22"/>
      <c r="G1043" s="7"/>
      <c r="K1043" s="7"/>
      <c r="M1043" s="8"/>
      <c r="N1043" s="8"/>
      <c r="P1043" s="8"/>
      <c r="Q1043" s="5"/>
      <c r="R1043" s="26"/>
      <c r="S1043" s="27"/>
    </row>
    <row r="1044" spans="1:19" x14ac:dyDescent="0.3">
      <c r="A1044">
        <v>200010076</v>
      </c>
      <c r="C1044" s="22"/>
      <c r="G1044" s="7"/>
      <c r="K1044" s="7"/>
      <c r="M1044" s="8"/>
      <c r="N1044" s="8"/>
      <c r="P1044" s="8"/>
      <c r="Q1044" s="5"/>
      <c r="R1044" s="26"/>
      <c r="S1044" s="27"/>
    </row>
    <row r="1045" spans="1:19" x14ac:dyDescent="0.3">
      <c r="A1045">
        <v>200010076</v>
      </c>
      <c r="C1045" s="22"/>
      <c r="G1045" s="7"/>
      <c r="K1045" s="7"/>
      <c r="M1045" s="8"/>
      <c r="N1045" s="8"/>
      <c r="P1045" s="8"/>
      <c r="Q1045" s="5"/>
      <c r="R1045" s="26"/>
      <c r="S1045" s="27"/>
    </row>
    <row r="1046" spans="1:19" x14ac:dyDescent="0.3">
      <c r="A1046">
        <v>200010076</v>
      </c>
      <c r="C1046" s="22"/>
      <c r="G1046" s="7"/>
      <c r="K1046" s="7"/>
      <c r="M1046" s="8"/>
      <c r="N1046" s="8"/>
      <c r="P1046" s="8"/>
      <c r="Q1046" s="5"/>
      <c r="R1046" s="26"/>
      <c r="S1046" s="27"/>
    </row>
    <row r="1047" spans="1:19" x14ac:dyDescent="0.3">
      <c r="A1047">
        <v>200010076</v>
      </c>
      <c r="C1047" s="22"/>
      <c r="G1047" s="7"/>
      <c r="K1047" s="7"/>
      <c r="M1047" s="8"/>
      <c r="N1047" s="8"/>
      <c r="P1047" s="8"/>
      <c r="Q1047" s="5"/>
      <c r="R1047" s="26"/>
      <c r="S1047" s="27"/>
    </row>
    <row r="1048" spans="1:19" x14ac:dyDescent="0.3">
      <c r="A1048">
        <v>200010076</v>
      </c>
      <c r="C1048" s="22"/>
      <c r="G1048" s="7"/>
      <c r="K1048" s="7"/>
      <c r="M1048" s="8"/>
      <c r="N1048" s="8"/>
      <c r="P1048" s="8"/>
      <c r="Q1048" s="5"/>
      <c r="R1048" s="26"/>
      <c r="S1048" s="27"/>
    </row>
    <row r="1049" spans="1:19" x14ac:dyDescent="0.3">
      <c r="A1049">
        <v>200010076</v>
      </c>
      <c r="C1049" s="22"/>
      <c r="G1049" s="7"/>
      <c r="K1049" s="7"/>
      <c r="M1049" s="8"/>
      <c r="N1049" s="8"/>
      <c r="P1049" s="8"/>
      <c r="Q1049" s="5"/>
      <c r="R1049" s="26"/>
      <c r="S1049" s="27"/>
    </row>
    <row r="1050" spans="1:19" x14ac:dyDescent="0.3">
      <c r="A1050">
        <v>200010076</v>
      </c>
      <c r="C1050" s="22"/>
      <c r="G1050" s="7"/>
      <c r="K1050" s="7"/>
      <c r="M1050" s="8"/>
      <c r="N1050" s="8"/>
      <c r="P1050" s="8"/>
      <c r="Q1050" s="5"/>
      <c r="R1050" s="26"/>
      <c r="S1050" s="27"/>
    </row>
    <row r="1051" spans="1:19" x14ac:dyDescent="0.3">
      <c r="A1051">
        <v>200010076</v>
      </c>
      <c r="C1051" s="22"/>
      <c r="G1051" s="7"/>
      <c r="K1051" s="7"/>
      <c r="M1051" s="8"/>
      <c r="N1051" s="8"/>
      <c r="P1051" s="8"/>
      <c r="Q1051" s="5"/>
      <c r="R1051" s="26"/>
      <c r="S1051" s="27"/>
    </row>
    <row r="1052" spans="1:19" x14ac:dyDescent="0.3">
      <c r="A1052">
        <v>200010076</v>
      </c>
      <c r="C1052" s="22"/>
      <c r="G1052" s="7"/>
      <c r="K1052" s="7"/>
      <c r="M1052" s="8"/>
      <c r="N1052" s="8"/>
      <c r="P1052" s="8"/>
      <c r="Q1052" s="5"/>
      <c r="R1052" s="26"/>
      <c r="S1052" s="27"/>
    </row>
    <row r="1053" spans="1:19" x14ac:dyDescent="0.3">
      <c r="A1053">
        <v>200010076</v>
      </c>
      <c r="C1053" s="22"/>
      <c r="G1053" s="7"/>
      <c r="K1053" s="7"/>
      <c r="M1053" s="8"/>
      <c r="N1053" s="8"/>
      <c r="P1053" s="8"/>
      <c r="Q1053" s="5"/>
      <c r="R1053" s="26"/>
      <c r="S1053" s="27"/>
    </row>
    <row r="1054" spans="1:19" x14ac:dyDescent="0.3">
      <c r="A1054">
        <v>200010076</v>
      </c>
      <c r="C1054" s="22"/>
      <c r="G1054" s="7"/>
      <c r="K1054" s="7"/>
      <c r="M1054" s="8"/>
      <c r="N1054" s="8"/>
      <c r="P1054" s="8"/>
      <c r="Q1054" s="5"/>
      <c r="R1054" s="26"/>
      <c r="S1054" s="27"/>
    </row>
    <row r="1055" spans="1:19" x14ac:dyDescent="0.3">
      <c r="A1055">
        <v>200010076</v>
      </c>
      <c r="C1055" s="22"/>
      <c r="G1055" s="7"/>
      <c r="K1055" s="7"/>
      <c r="M1055" s="8"/>
      <c r="N1055" s="8"/>
      <c r="P1055" s="8"/>
      <c r="Q1055" s="5"/>
      <c r="R1055" s="26"/>
      <c r="S1055" s="27"/>
    </row>
    <row r="1056" spans="1:19" x14ac:dyDescent="0.3">
      <c r="A1056">
        <v>200010076</v>
      </c>
      <c r="C1056" s="22"/>
      <c r="G1056" s="7"/>
      <c r="K1056" s="7"/>
      <c r="M1056" s="8"/>
      <c r="N1056" s="8"/>
      <c r="P1056" s="8"/>
      <c r="Q1056" s="5"/>
      <c r="R1056" s="26"/>
      <c r="S1056" s="27"/>
    </row>
    <row r="1057" spans="1:19" x14ac:dyDescent="0.3">
      <c r="A1057">
        <v>200010076</v>
      </c>
      <c r="C1057" s="22"/>
      <c r="G1057" s="7"/>
      <c r="K1057" s="7"/>
      <c r="M1057" s="8"/>
      <c r="N1057" s="8"/>
      <c r="P1057" s="8"/>
      <c r="Q1057" s="5"/>
      <c r="R1057" s="26"/>
      <c r="S1057" s="27"/>
    </row>
    <row r="1058" spans="1:19" x14ac:dyDescent="0.3">
      <c r="A1058">
        <v>200010076</v>
      </c>
      <c r="C1058" s="22"/>
      <c r="G1058" s="7"/>
      <c r="K1058" s="7"/>
      <c r="M1058" s="8"/>
      <c r="N1058" s="8"/>
      <c r="P1058" s="8"/>
      <c r="Q1058" s="5"/>
      <c r="R1058" s="26"/>
      <c r="S1058" s="27"/>
    </row>
    <row r="1059" spans="1:19" x14ac:dyDescent="0.3">
      <c r="A1059">
        <v>200010076</v>
      </c>
      <c r="C1059" s="22"/>
      <c r="G1059" s="7"/>
      <c r="K1059" s="7"/>
      <c r="M1059" s="8"/>
      <c r="N1059" s="8"/>
      <c r="P1059" s="8"/>
      <c r="Q1059" s="5"/>
      <c r="R1059" s="26"/>
      <c r="S1059" s="27"/>
    </row>
    <row r="1060" spans="1:19" x14ac:dyDescent="0.3">
      <c r="A1060">
        <v>200010076</v>
      </c>
      <c r="C1060" s="22"/>
      <c r="G1060" s="7"/>
      <c r="K1060" s="7"/>
      <c r="M1060" s="8"/>
      <c r="N1060" s="8"/>
      <c r="P1060" s="8"/>
      <c r="Q1060" s="5"/>
      <c r="R1060" s="26"/>
      <c r="S1060" s="27"/>
    </row>
    <row r="1061" spans="1:19" x14ac:dyDescent="0.3">
      <c r="A1061">
        <v>200010076</v>
      </c>
      <c r="C1061" s="22"/>
      <c r="G1061" s="7"/>
      <c r="K1061" s="7"/>
      <c r="M1061" s="8"/>
      <c r="N1061" s="8"/>
      <c r="P1061" s="8"/>
      <c r="Q1061" s="5"/>
      <c r="R1061" s="26"/>
      <c r="S1061" s="27"/>
    </row>
    <row r="1062" spans="1:19" x14ac:dyDescent="0.3">
      <c r="A1062">
        <v>200010076</v>
      </c>
      <c r="C1062" s="22"/>
      <c r="G1062" s="7"/>
      <c r="K1062" s="7"/>
      <c r="M1062" s="8"/>
      <c r="N1062" s="8"/>
      <c r="P1062" s="8"/>
      <c r="Q1062" s="5"/>
      <c r="R1062" s="26"/>
      <c r="S1062" s="27"/>
    </row>
    <row r="1063" spans="1:19" x14ac:dyDescent="0.3">
      <c r="A1063">
        <v>200010076</v>
      </c>
      <c r="C1063" s="22"/>
      <c r="G1063" s="7"/>
      <c r="K1063" s="7"/>
      <c r="M1063" s="8"/>
      <c r="N1063" s="8"/>
      <c r="P1063" s="8"/>
      <c r="Q1063" s="5"/>
      <c r="R1063" s="26"/>
      <c r="S1063" s="27"/>
    </row>
    <row r="1064" spans="1:19" x14ac:dyDescent="0.3">
      <c r="A1064">
        <v>200010076</v>
      </c>
      <c r="C1064" s="22"/>
      <c r="G1064" s="7"/>
      <c r="K1064" s="7"/>
      <c r="M1064" s="8"/>
      <c r="N1064" s="8"/>
      <c r="P1064" s="8"/>
      <c r="Q1064" s="5"/>
      <c r="R1064" s="26"/>
      <c r="S1064" s="27"/>
    </row>
    <row r="1065" spans="1:19" x14ac:dyDescent="0.3">
      <c r="A1065">
        <v>200010076</v>
      </c>
      <c r="C1065" s="22"/>
      <c r="G1065" s="7"/>
      <c r="K1065" s="7"/>
      <c r="M1065" s="8"/>
      <c r="N1065" s="8"/>
      <c r="P1065" s="8"/>
      <c r="Q1065" s="5"/>
      <c r="R1065" s="26"/>
      <c r="S1065" s="27"/>
    </row>
    <row r="1066" spans="1:19" x14ac:dyDescent="0.3">
      <c r="A1066">
        <v>200010076</v>
      </c>
      <c r="C1066" s="22"/>
      <c r="G1066" s="7"/>
      <c r="K1066" s="7"/>
      <c r="M1066" s="8"/>
      <c r="N1066" s="8"/>
      <c r="P1066" s="8"/>
      <c r="Q1066" s="5"/>
      <c r="R1066" s="26"/>
      <c r="S1066" s="27"/>
    </row>
    <row r="1067" spans="1:19" x14ac:dyDescent="0.3">
      <c r="A1067">
        <v>200010076</v>
      </c>
      <c r="C1067" s="22"/>
      <c r="G1067" s="7"/>
      <c r="K1067" s="7"/>
      <c r="M1067" s="8"/>
      <c r="N1067" s="8"/>
      <c r="P1067" s="8"/>
      <c r="Q1067" s="5"/>
      <c r="R1067" s="26"/>
      <c r="S1067" s="27"/>
    </row>
    <row r="1068" spans="1:19" x14ac:dyDescent="0.3">
      <c r="A1068">
        <v>200010076</v>
      </c>
      <c r="C1068" s="22"/>
      <c r="G1068" s="7"/>
      <c r="K1068" s="7"/>
      <c r="M1068" s="8"/>
      <c r="N1068" s="8"/>
      <c r="P1068" s="8"/>
      <c r="Q1068" s="5"/>
      <c r="R1068" s="26"/>
      <c r="S1068" s="27"/>
    </row>
    <row r="1069" spans="1:19" x14ac:dyDescent="0.3">
      <c r="A1069">
        <v>200010076</v>
      </c>
      <c r="C1069" s="22"/>
      <c r="G1069" s="7"/>
      <c r="K1069" s="7"/>
      <c r="M1069" s="8"/>
      <c r="N1069" s="8"/>
      <c r="P1069" s="8"/>
      <c r="Q1069" s="5"/>
      <c r="R1069" s="26"/>
      <c r="S1069" s="27"/>
    </row>
    <row r="1070" spans="1:19" x14ac:dyDescent="0.3">
      <c r="A1070">
        <v>200010076</v>
      </c>
      <c r="C1070" s="22"/>
      <c r="G1070" s="7"/>
      <c r="K1070" s="7"/>
      <c r="M1070" s="8"/>
      <c r="N1070" s="8"/>
      <c r="P1070" s="8"/>
      <c r="Q1070" s="5"/>
      <c r="R1070" s="26"/>
      <c r="S1070" s="27"/>
    </row>
    <row r="1071" spans="1:19" x14ac:dyDescent="0.3">
      <c r="A1071">
        <v>200010076</v>
      </c>
      <c r="C1071" s="22"/>
      <c r="G1071" s="7"/>
      <c r="K1071" s="7"/>
      <c r="M1071" s="8"/>
      <c r="N1071" s="8"/>
      <c r="P1071" s="8"/>
      <c r="Q1071" s="5"/>
      <c r="R1071" s="26"/>
      <c r="S1071" s="27"/>
    </row>
    <row r="1072" spans="1:19" x14ac:dyDescent="0.3">
      <c r="A1072">
        <v>200010076</v>
      </c>
      <c r="C1072" s="22"/>
      <c r="G1072" s="7"/>
      <c r="K1072" s="7"/>
      <c r="M1072" s="8"/>
      <c r="N1072" s="8"/>
      <c r="P1072" s="8"/>
      <c r="Q1072" s="5"/>
      <c r="R1072" s="26"/>
      <c r="S1072" s="27"/>
    </row>
    <row r="1073" spans="1:19" x14ac:dyDescent="0.3">
      <c r="A1073">
        <v>200010076</v>
      </c>
      <c r="C1073" s="22"/>
      <c r="G1073" s="7"/>
      <c r="K1073" s="7"/>
      <c r="M1073" s="8"/>
      <c r="N1073" s="8"/>
      <c r="P1073" s="8"/>
      <c r="Q1073" s="5"/>
      <c r="R1073" s="26"/>
      <c r="S1073" s="27"/>
    </row>
    <row r="1074" spans="1:19" x14ac:dyDescent="0.3">
      <c r="A1074">
        <v>200010076</v>
      </c>
      <c r="C1074" s="22"/>
      <c r="G1074" s="7"/>
      <c r="K1074" s="7"/>
      <c r="M1074" s="8"/>
      <c r="N1074" s="8"/>
      <c r="P1074" s="8"/>
      <c r="Q1074" s="5"/>
      <c r="R1074" s="26"/>
      <c r="S1074" s="27"/>
    </row>
    <row r="1075" spans="1:19" x14ac:dyDescent="0.3">
      <c r="A1075">
        <v>200010076</v>
      </c>
      <c r="C1075" s="22"/>
      <c r="G1075" s="7"/>
      <c r="K1075" s="7"/>
      <c r="M1075" s="8"/>
      <c r="N1075" s="8"/>
      <c r="P1075" s="8"/>
      <c r="Q1075" s="5"/>
      <c r="R1075" s="26"/>
      <c r="S1075" s="27"/>
    </row>
    <row r="1076" spans="1:19" x14ac:dyDescent="0.3">
      <c r="A1076">
        <v>200010076</v>
      </c>
      <c r="C1076" s="22"/>
      <c r="G1076" s="7"/>
      <c r="K1076" s="7"/>
      <c r="M1076" s="8"/>
      <c r="N1076" s="8"/>
      <c r="P1076" s="8"/>
      <c r="Q1076" s="5"/>
      <c r="R1076" s="26"/>
      <c r="S1076" s="27"/>
    </row>
    <row r="1077" spans="1:19" x14ac:dyDescent="0.3">
      <c r="A1077">
        <v>200010076</v>
      </c>
      <c r="C1077" s="22"/>
      <c r="G1077" s="7"/>
      <c r="K1077" s="7"/>
      <c r="M1077" s="8"/>
      <c r="N1077" s="8"/>
      <c r="P1077" s="8"/>
      <c r="Q1077" s="5"/>
      <c r="R1077" s="26"/>
      <c r="S1077" s="27"/>
    </row>
    <row r="1078" spans="1:19" x14ac:dyDescent="0.3">
      <c r="A1078">
        <v>200010076</v>
      </c>
      <c r="C1078" s="22"/>
      <c r="G1078" s="7"/>
      <c r="K1078" s="7"/>
      <c r="M1078" s="8"/>
      <c r="N1078" s="8"/>
      <c r="P1078" s="8"/>
      <c r="Q1078" s="5"/>
      <c r="R1078" s="26"/>
      <c r="S1078" s="27"/>
    </row>
    <row r="1079" spans="1:19" x14ac:dyDescent="0.3">
      <c r="A1079">
        <v>200010076</v>
      </c>
      <c r="C1079" s="22"/>
      <c r="G1079" s="7"/>
      <c r="K1079" s="7"/>
      <c r="M1079" s="8"/>
      <c r="N1079" s="8"/>
      <c r="P1079" s="8"/>
      <c r="Q1079" s="5"/>
      <c r="R1079" s="26"/>
      <c r="S1079" s="27"/>
    </row>
    <row r="1080" spans="1:19" x14ac:dyDescent="0.3">
      <c r="A1080">
        <v>200010076</v>
      </c>
      <c r="C1080" s="22"/>
      <c r="G1080" s="7"/>
      <c r="K1080" s="7"/>
      <c r="M1080" s="8"/>
      <c r="N1080" s="8"/>
      <c r="P1080" s="8"/>
      <c r="Q1080" s="5"/>
      <c r="R1080" s="26"/>
      <c r="S1080" s="27"/>
    </row>
    <row r="1081" spans="1:19" x14ac:dyDescent="0.3">
      <c r="A1081">
        <v>200010076</v>
      </c>
      <c r="C1081" s="22"/>
      <c r="G1081" s="7"/>
      <c r="K1081" s="7"/>
      <c r="M1081" s="8"/>
      <c r="N1081" s="8"/>
      <c r="P1081" s="8"/>
      <c r="Q1081" s="5"/>
      <c r="R1081" s="26"/>
      <c r="S1081" s="27"/>
    </row>
    <row r="1082" spans="1:19" x14ac:dyDescent="0.3">
      <c r="A1082">
        <v>200010076</v>
      </c>
      <c r="C1082" s="22"/>
      <c r="G1082" s="7"/>
      <c r="K1082" s="7"/>
      <c r="M1082" s="8"/>
      <c r="N1082" s="8"/>
      <c r="P1082" s="8"/>
      <c r="Q1082" s="5"/>
      <c r="R1082" s="26"/>
      <c r="S1082" s="27"/>
    </row>
    <row r="1083" spans="1:19" x14ac:dyDescent="0.3">
      <c r="A1083">
        <v>200010076</v>
      </c>
      <c r="C1083" s="22"/>
      <c r="G1083" s="7"/>
      <c r="K1083" s="7"/>
      <c r="M1083" s="8"/>
      <c r="N1083" s="8"/>
      <c r="P1083" s="8"/>
      <c r="Q1083" s="5"/>
      <c r="R1083" s="26"/>
      <c r="S1083" s="27"/>
    </row>
    <row r="1084" spans="1:19" x14ac:dyDescent="0.3">
      <c r="A1084">
        <v>200010076</v>
      </c>
      <c r="C1084" s="22"/>
      <c r="G1084" s="7"/>
      <c r="K1084" s="7"/>
      <c r="M1084" s="8"/>
      <c r="N1084" s="8"/>
      <c r="P1084" s="8"/>
      <c r="Q1084" s="5"/>
      <c r="R1084" s="26"/>
      <c r="S1084" s="27"/>
    </row>
    <row r="1085" spans="1:19" x14ac:dyDescent="0.3">
      <c r="A1085">
        <v>200010076</v>
      </c>
      <c r="C1085" s="22"/>
      <c r="G1085" s="7"/>
      <c r="K1085" s="7"/>
      <c r="M1085" s="8"/>
      <c r="N1085" s="8"/>
      <c r="P1085" s="8"/>
      <c r="Q1085" s="5"/>
      <c r="R1085" s="26"/>
      <c r="S1085" s="27"/>
    </row>
    <row r="1086" spans="1:19" x14ac:dyDescent="0.3">
      <c r="A1086">
        <v>200010076</v>
      </c>
      <c r="C1086" s="22"/>
      <c r="G1086" s="7"/>
      <c r="K1086" s="7"/>
      <c r="M1086" s="8"/>
      <c r="N1086" s="8"/>
      <c r="P1086" s="8"/>
      <c r="Q1086" s="5"/>
      <c r="R1086" s="26"/>
      <c r="S1086" s="27"/>
    </row>
    <row r="1087" spans="1:19" x14ac:dyDescent="0.3">
      <c r="A1087">
        <v>200010076</v>
      </c>
      <c r="C1087" s="22"/>
      <c r="G1087" s="7"/>
      <c r="K1087" s="7"/>
      <c r="M1087" s="8"/>
      <c r="N1087" s="8"/>
      <c r="P1087" s="8"/>
      <c r="Q1087" s="5"/>
      <c r="R1087" s="26"/>
      <c r="S1087" s="27"/>
    </row>
    <row r="1088" spans="1:19" x14ac:dyDescent="0.3">
      <c r="A1088">
        <v>200010076</v>
      </c>
      <c r="C1088" s="22"/>
      <c r="G1088" s="7"/>
      <c r="K1088" s="7"/>
      <c r="M1088" s="8"/>
      <c r="N1088" s="8"/>
      <c r="P1088" s="8"/>
      <c r="Q1088" s="5"/>
      <c r="R1088" s="26"/>
      <c r="S1088" s="27"/>
    </row>
    <row r="1089" spans="1:19" x14ac:dyDescent="0.3">
      <c r="A1089">
        <v>200010076</v>
      </c>
      <c r="C1089" s="22"/>
      <c r="G1089" s="7"/>
      <c r="K1089" s="7"/>
      <c r="M1089" s="8"/>
      <c r="N1089" s="8"/>
      <c r="P1089" s="8"/>
      <c r="Q1089" s="5"/>
      <c r="R1089" s="26"/>
      <c r="S1089" s="27"/>
    </row>
    <row r="1090" spans="1:19" x14ac:dyDescent="0.3">
      <c r="A1090">
        <v>200010076</v>
      </c>
      <c r="C1090" s="22"/>
      <c r="G1090" s="7"/>
      <c r="K1090" s="7"/>
      <c r="M1090" s="8"/>
      <c r="N1090" s="8"/>
      <c r="P1090" s="8"/>
      <c r="Q1090" s="5"/>
      <c r="R1090" s="26"/>
      <c r="S1090" s="27"/>
    </row>
    <row r="1091" spans="1:19" x14ac:dyDescent="0.3">
      <c r="A1091">
        <v>200010076</v>
      </c>
      <c r="C1091" s="22"/>
      <c r="G1091" s="7"/>
      <c r="K1091" s="7"/>
      <c r="M1091" s="8"/>
      <c r="N1091" s="8"/>
      <c r="P1091" s="8"/>
      <c r="Q1091" s="5"/>
      <c r="R1091" s="26"/>
      <c r="S1091" s="27"/>
    </row>
    <row r="1092" spans="1:19" x14ac:dyDescent="0.3">
      <c r="A1092">
        <v>200010076</v>
      </c>
      <c r="C1092" s="22"/>
      <c r="G1092" s="7"/>
      <c r="K1092" s="7"/>
      <c r="M1092" s="8"/>
      <c r="N1092" s="8"/>
      <c r="P1092" s="8"/>
      <c r="Q1092" s="5"/>
      <c r="R1092" s="26"/>
      <c r="S1092" s="27"/>
    </row>
    <row r="1093" spans="1:19" x14ac:dyDescent="0.3">
      <c r="A1093">
        <v>200010076</v>
      </c>
      <c r="C1093" s="22"/>
      <c r="G1093" s="7"/>
      <c r="K1093" s="7"/>
      <c r="M1093" s="8"/>
      <c r="N1093" s="8"/>
      <c r="P1093" s="8"/>
      <c r="Q1093" s="5"/>
      <c r="R1093" s="26"/>
      <c r="S1093" s="27"/>
    </row>
    <row r="1094" spans="1:19" x14ac:dyDescent="0.3">
      <c r="A1094">
        <v>200010076</v>
      </c>
      <c r="C1094" s="22"/>
      <c r="G1094" s="7"/>
      <c r="K1094" s="7"/>
      <c r="M1094" s="8"/>
      <c r="N1094" s="8"/>
      <c r="P1094" s="8"/>
      <c r="Q1094" s="5"/>
      <c r="R1094" s="26"/>
      <c r="S1094" s="27"/>
    </row>
    <row r="1095" spans="1:19" x14ac:dyDescent="0.3">
      <c r="A1095">
        <v>200010076</v>
      </c>
      <c r="C1095" s="22"/>
      <c r="G1095" s="7"/>
      <c r="K1095" s="7"/>
      <c r="M1095" s="8"/>
      <c r="N1095" s="8"/>
      <c r="P1095" s="8"/>
      <c r="Q1095" s="5"/>
      <c r="R1095" s="26"/>
      <c r="S1095" s="27"/>
    </row>
    <row r="1096" spans="1:19" x14ac:dyDescent="0.3">
      <c r="A1096">
        <v>200010076</v>
      </c>
      <c r="C1096" s="22"/>
      <c r="G1096" s="7"/>
      <c r="K1096" s="7"/>
      <c r="M1096" s="8"/>
      <c r="N1096" s="8"/>
      <c r="P1096" s="8"/>
      <c r="Q1096" s="5"/>
      <c r="R1096" s="26"/>
      <c r="S1096" s="27"/>
    </row>
    <row r="1097" spans="1:19" x14ac:dyDescent="0.3">
      <c r="A1097">
        <v>200010076</v>
      </c>
      <c r="C1097" s="22"/>
      <c r="G1097" s="7"/>
      <c r="K1097" s="7"/>
      <c r="M1097" s="8"/>
      <c r="N1097" s="8"/>
      <c r="P1097" s="8"/>
      <c r="Q1097" s="5"/>
      <c r="R1097" s="26"/>
      <c r="S1097" s="27"/>
    </row>
    <row r="1098" spans="1:19" x14ac:dyDescent="0.3">
      <c r="A1098">
        <v>200010076</v>
      </c>
      <c r="C1098" s="22"/>
      <c r="G1098" s="7"/>
      <c r="K1098" s="7"/>
      <c r="M1098" s="8"/>
      <c r="N1098" s="8"/>
      <c r="P1098" s="8"/>
      <c r="Q1098" s="5"/>
      <c r="R1098" s="26"/>
      <c r="S1098" s="27"/>
    </row>
    <row r="1099" spans="1:19" x14ac:dyDescent="0.3">
      <c r="A1099">
        <v>200010076</v>
      </c>
      <c r="C1099" s="22"/>
      <c r="G1099" s="7"/>
      <c r="K1099" s="7"/>
      <c r="M1099" s="8"/>
      <c r="N1099" s="8"/>
      <c r="P1099" s="8"/>
      <c r="Q1099" s="5"/>
      <c r="R1099" s="26"/>
      <c r="S1099" s="27"/>
    </row>
    <row r="1100" spans="1:19" x14ac:dyDescent="0.3">
      <c r="A1100">
        <v>200010076</v>
      </c>
      <c r="C1100" s="22"/>
      <c r="G1100" s="7"/>
      <c r="K1100" s="7"/>
      <c r="M1100" s="8"/>
      <c r="N1100" s="8"/>
      <c r="P1100" s="8"/>
      <c r="Q1100" s="5"/>
      <c r="R1100" s="26"/>
      <c r="S1100" s="27"/>
    </row>
    <row r="1101" spans="1:19" x14ac:dyDescent="0.3">
      <c r="A1101">
        <v>200010076</v>
      </c>
      <c r="C1101" s="22"/>
      <c r="G1101" s="7"/>
      <c r="K1101" s="7"/>
      <c r="M1101" s="8"/>
      <c r="N1101" s="8"/>
      <c r="P1101" s="8"/>
      <c r="Q1101" s="5"/>
      <c r="R1101" s="26"/>
      <c r="S1101" s="27"/>
    </row>
    <row r="1102" spans="1:19" x14ac:dyDescent="0.3">
      <c r="A1102">
        <v>200010076</v>
      </c>
      <c r="C1102" s="22"/>
      <c r="G1102" s="7"/>
      <c r="K1102" s="7"/>
      <c r="M1102" s="8"/>
      <c r="N1102" s="8"/>
      <c r="P1102" s="8"/>
      <c r="Q1102" s="5"/>
      <c r="R1102" s="26"/>
      <c r="S1102" s="27"/>
    </row>
    <row r="1103" spans="1:19" x14ac:dyDescent="0.3">
      <c r="A1103">
        <v>200010076</v>
      </c>
      <c r="C1103" s="22"/>
      <c r="G1103" s="7"/>
      <c r="K1103" s="7"/>
      <c r="M1103" s="8"/>
      <c r="N1103" s="8"/>
      <c r="P1103" s="8"/>
      <c r="Q1103" s="5"/>
      <c r="R1103" s="26"/>
      <c r="S1103" s="27"/>
    </row>
    <row r="1104" spans="1:19" x14ac:dyDescent="0.3">
      <c r="A1104">
        <v>200010076</v>
      </c>
      <c r="C1104" s="22"/>
      <c r="G1104" s="7"/>
      <c r="K1104" s="7"/>
      <c r="M1104" s="8"/>
      <c r="N1104" s="8"/>
      <c r="P1104" s="8"/>
      <c r="Q1104" s="5"/>
      <c r="R1104" s="26"/>
      <c r="S1104" s="27"/>
    </row>
    <row r="1105" spans="1:19" x14ac:dyDescent="0.3">
      <c r="A1105">
        <v>200010076</v>
      </c>
      <c r="C1105" s="22"/>
      <c r="G1105" s="7"/>
      <c r="K1105" s="7"/>
      <c r="M1105" s="8"/>
      <c r="N1105" s="8"/>
      <c r="P1105" s="8"/>
      <c r="Q1105" s="5"/>
      <c r="R1105" s="26"/>
      <c r="S1105" s="27"/>
    </row>
    <row r="1106" spans="1:19" x14ac:dyDescent="0.3">
      <c r="A1106">
        <v>200010076</v>
      </c>
      <c r="C1106" s="22"/>
      <c r="G1106" s="7"/>
      <c r="K1106" s="7"/>
      <c r="M1106" s="8"/>
      <c r="N1106" s="8"/>
      <c r="P1106" s="8"/>
      <c r="Q1106" s="5"/>
      <c r="R1106" s="26"/>
      <c r="S1106" s="27"/>
    </row>
    <row r="1107" spans="1:19" x14ac:dyDescent="0.3">
      <c r="A1107">
        <v>200010076</v>
      </c>
      <c r="C1107" s="22"/>
      <c r="G1107" s="7"/>
      <c r="K1107" s="7"/>
      <c r="M1107" s="8"/>
      <c r="N1107" s="8"/>
      <c r="P1107" s="8"/>
      <c r="Q1107" s="5"/>
      <c r="R1107" s="26"/>
      <c r="S1107" s="27"/>
    </row>
    <row r="1108" spans="1:19" x14ac:dyDescent="0.3">
      <c r="A1108">
        <v>200010076</v>
      </c>
      <c r="C1108" s="22"/>
      <c r="G1108" s="7"/>
      <c r="K1108" s="7"/>
      <c r="M1108" s="8"/>
      <c r="N1108" s="8"/>
      <c r="P1108" s="8"/>
      <c r="Q1108" s="5"/>
      <c r="R1108" s="26"/>
      <c r="S1108" s="27"/>
    </row>
    <row r="1109" spans="1:19" x14ac:dyDescent="0.3">
      <c r="A1109">
        <v>200010076</v>
      </c>
      <c r="C1109" s="22"/>
      <c r="G1109" s="7"/>
      <c r="K1109" s="7"/>
      <c r="M1109" s="8"/>
      <c r="N1109" s="8"/>
      <c r="P1109" s="8"/>
      <c r="Q1109" s="5"/>
      <c r="R1109" s="26"/>
      <c r="S1109" s="27"/>
    </row>
    <row r="1110" spans="1:19" x14ac:dyDescent="0.3">
      <c r="A1110">
        <v>200010076</v>
      </c>
      <c r="C1110" s="22"/>
      <c r="G1110" s="7"/>
      <c r="K1110" s="7"/>
      <c r="M1110" s="8"/>
      <c r="N1110" s="8"/>
      <c r="P1110" s="8"/>
      <c r="Q1110" s="5"/>
      <c r="R1110" s="26"/>
      <c r="S1110" s="27"/>
    </row>
    <row r="1111" spans="1:19" x14ac:dyDescent="0.3">
      <c r="A1111">
        <v>200010076</v>
      </c>
      <c r="C1111" s="22"/>
      <c r="G1111" s="7"/>
      <c r="K1111" s="7"/>
      <c r="M1111" s="8"/>
      <c r="N1111" s="8"/>
      <c r="P1111" s="8"/>
      <c r="Q1111" s="5"/>
      <c r="R1111" s="26"/>
      <c r="S1111" s="27"/>
    </row>
    <row r="1112" spans="1:19" x14ac:dyDescent="0.3">
      <c r="A1112">
        <v>200010076</v>
      </c>
      <c r="C1112" s="22"/>
      <c r="G1112" s="7"/>
      <c r="K1112" s="7"/>
      <c r="M1112" s="8"/>
      <c r="N1112" s="8"/>
      <c r="P1112" s="8"/>
      <c r="Q1112" s="5"/>
      <c r="R1112" s="26"/>
      <c r="S1112" s="27"/>
    </row>
    <row r="1113" spans="1:19" x14ac:dyDescent="0.3">
      <c r="A1113">
        <v>200010076</v>
      </c>
      <c r="C1113" s="22"/>
      <c r="G1113" s="7"/>
      <c r="K1113" s="7"/>
      <c r="M1113" s="8"/>
      <c r="N1113" s="8"/>
      <c r="P1113" s="8"/>
      <c r="Q1113" s="5"/>
      <c r="R1113" s="26"/>
      <c r="S1113" s="27"/>
    </row>
    <row r="1114" spans="1:19" x14ac:dyDescent="0.3">
      <c r="A1114">
        <v>200010076</v>
      </c>
      <c r="C1114" s="22"/>
      <c r="G1114" s="7"/>
      <c r="K1114" s="7"/>
      <c r="M1114" s="8"/>
      <c r="N1114" s="8"/>
      <c r="P1114" s="8"/>
      <c r="Q1114" s="5"/>
      <c r="R1114" s="26"/>
      <c r="S1114" s="27"/>
    </row>
    <row r="1115" spans="1:19" x14ac:dyDescent="0.3">
      <c r="A1115">
        <v>200010076</v>
      </c>
      <c r="C1115" s="22"/>
      <c r="G1115" s="7"/>
      <c r="K1115" s="7"/>
      <c r="M1115" s="8"/>
      <c r="N1115" s="8"/>
      <c r="P1115" s="8"/>
      <c r="Q1115" s="5"/>
      <c r="R1115" s="26"/>
      <c r="S1115" s="27"/>
    </row>
    <row r="1116" spans="1:19" x14ac:dyDescent="0.3">
      <c r="A1116">
        <v>200010076</v>
      </c>
      <c r="C1116" s="22"/>
      <c r="G1116" s="7"/>
      <c r="K1116" s="7"/>
      <c r="M1116" s="8"/>
      <c r="N1116" s="8"/>
      <c r="P1116" s="8"/>
      <c r="Q1116" s="5"/>
      <c r="R1116" s="26"/>
      <c r="S1116" s="27"/>
    </row>
    <row r="1117" spans="1:19" x14ac:dyDescent="0.3">
      <c r="A1117">
        <v>200010076</v>
      </c>
      <c r="C1117" s="22"/>
      <c r="G1117" s="7"/>
      <c r="K1117" s="7"/>
      <c r="M1117" s="8"/>
      <c r="N1117" s="8"/>
      <c r="P1117" s="8"/>
      <c r="Q1117" s="5"/>
      <c r="R1117" s="26"/>
      <c r="S1117" s="27"/>
    </row>
    <row r="1118" spans="1:19" x14ac:dyDescent="0.3">
      <c r="A1118">
        <v>200010076</v>
      </c>
      <c r="C1118" s="22"/>
      <c r="G1118" s="7"/>
      <c r="K1118" s="7"/>
      <c r="M1118" s="8"/>
      <c r="N1118" s="8"/>
      <c r="P1118" s="8"/>
      <c r="Q1118" s="5"/>
      <c r="R1118" s="26"/>
      <c r="S1118" s="27"/>
    </row>
    <row r="1119" spans="1:19" x14ac:dyDescent="0.3">
      <c r="A1119">
        <v>200010076</v>
      </c>
      <c r="C1119" s="22"/>
      <c r="G1119" s="7"/>
      <c r="K1119" s="7"/>
      <c r="M1119" s="8"/>
      <c r="N1119" s="8"/>
      <c r="P1119" s="8"/>
      <c r="Q1119" s="5"/>
      <c r="R1119" s="26"/>
      <c r="S1119" s="27"/>
    </row>
    <row r="1120" spans="1:19" x14ac:dyDescent="0.3">
      <c r="A1120">
        <v>200010076</v>
      </c>
      <c r="C1120" s="22"/>
      <c r="G1120" s="7"/>
      <c r="K1120" s="7"/>
      <c r="M1120" s="8"/>
      <c r="N1120" s="8"/>
      <c r="P1120" s="8"/>
      <c r="Q1120" s="5"/>
      <c r="R1120" s="26"/>
      <c r="S1120" s="27"/>
    </row>
    <row r="1121" spans="1:19" x14ac:dyDescent="0.3">
      <c r="A1121">
        <v>200010076</v>
      </c>
      <c r="C1121" s="22"/>
      <c r="G1121" s="7"/>
      <c r="K1121" s="7"/>
      <c r="M1121" s="8"/>
      <c r="N1121" s="8"/>
      <c r="P1121" s="8"/>
      <c r="Q1121" s="5"/>
      <c r="R1121" s="26"/>
      <c r="S1121" s="27"/>
    </row>
    <row r="1122" spans="1:19" x14ac:dyDescent="0.3">
      <c r="A1122">
        <v>200010076</v>
      </c>
      <c r="C1122" s="22"/>
      <c r="G1122" s="7"/>
      <c r="K1122" s="7"/>
      <c r="M1122" s="8"/>
      <c r="N1122" s="8"/>
      <c r="P1122" s="8"/>
      <c r="Q1122" s="5"/>
      <c r="R1122" s="26"/>
      <c r="S1122" s="27"/>
    </row>
    <row r="1123" spans="1:19" x14ac:dyDescent="0.3">
      <c r="A1123">
        <v>200010076</v>
      </c>
      <c r="C1123" s="22"/>
      <c r="G1123" s="7"/>
      <c r="K1123" s="7"/>
      <c r="M1123" s="8"/>
      <c r="N1123" s="8"/>
      <c r="P1123" s="8"/>
      <c r="Q1123" s="5"/>
      <c r="R1123" s="26"/>
      <c r="S1123" s="27"/>
    </row>
    <row r="1124" spans="1:19" x14ac:dyDescent="0.3">
      <c r="A1124">
        <v>200010076</v>
      </c>
      <c r="C1124" s="22"/>
      <c r="G1124" s="7"/>
      <c r="K1124" s="7"/>
      <c r="M1124" s="8"/>
      <c r="N1124" s="8"/>
      <c r="P1124" s="8"/>
      <c r="Q1124" s="5"/>
      <c r="R1124" s="26"/>
      <c r="S1124" s="27"/>
    </row>
    <row r="1125" spans="1:19" x14ac:dyDescent="0.3">
      <c r="A1125">
        <v>200010076</v>
      </c>
      <c r="C1125" s="22"/>
      <c r="G1125" s="7"/>
      <c r="K1125" s="7"/>
      <c r="M1125" s="8"/>
      <c r="N1125" s="8"/>
      <c r="P1125" s="8"/>
      <c r="Q1125" s="5"/>
      <c r="R1125" s="26"/>
      <c r="S1125" s="27"/>
    </row>
    <row r="1126" spans="1:19" x14ac:dyDescent="0.3">
      <c r="A1126">
        <v>200010076</v>
      </c>
      <c r="C1126" s="22"/>
      <c r="G1126" s="7"/>
      <c r="K1126" s="7"/>
      <c r="M1126" s="8"/>
      <c r="N1126" s="8"/>
      <c r="P1126" s="8"/>
      <c r="Q1126" s="5"/>
      <c r="R1126" s="26"/>
      <c r="S1126" s="27"/>
    </row>
    <row r="1127" spans="1:19" x14ac:dyDescent="0.3">
      <c r="A1127">
        <v>200010076</v>
      </c>
      <c r="C1127" s="22"/>
      <c r="G1127" s="7"/>
      <c r="K1127" s="7"/>
      <c r="M1127" s="8"/>
      <c r="N1127" s="8"/>
      <c r="P1127" s="8"/>
      <c r="Q1127" s="5"/>
      <c r="R1127" s="26"/>
      <c r="S1127" s="27"/>
    </row>
    <row r="1128" spans="1:19" x14ac:dyDescent="0.3">
      <c r="A1128">
        <v>200010076</v>
      </c>
      <c r="C1128" s="22"/>
      <c r="G1128" s="7"/>
      <c r="K1128" s="7"/>
      <c r="M1128" s="8"/>
      <c r="N1128" s="8"/>
      <c r="P1128" s="8"/>
      <c r="Q1128" s="5"/>
      <c r="R1128" s="26"/>
      <c r="S1128" s="27"/>
    </row>
    <row r="1129" spans="1:19" x14ac:dyDescent="0.3">
      <c r="A1129">
        <v>200010076</v>
      </c>
      <c r="C1129" s="22"/>
      <c r="G1129" s="7"/>
      <c r="K1129" s="7"/>
      <c r="M1129" s="8"/>
      <c r="N1129" s="8"/>
      <c r="P1129" s="8"/>
      <c r="Q1129" s="5"/>
      <c r="R1129" s="26"/>
      <c r="S1129" s="27"/>
    </row>
    <row r="1130" spans="1:19" x14ac:dyDescent="0.3">
      <c r="A1130">
        <v>200010076</v>
      </c>
      <c r="C1130" s="22"/>
      <c r="G1130" s="7"/>
      <c r="K1130" s="7"/>
      <c r="M1130" s="8"/>
      <c r="N1130" s="8"/>
      <c r="P1130" s="8"/>
      <c r="Q1130" s="5"/>
      <c r="R1130" s="26"/>
      <c r="S1130" s="27"/>
    </row>
    <row r="1131" spans="1:19" x14ac:dyDescent="0.3">
      <c r="A1131">
        <v>200010076</v>
      </c>
      <c r="C1131" s="22"/>
      <c r="G1131" s="7"/>
      <c r="K1131" s="7"/>
      <c r="M1131" s="8"/>
      <c r="N1131" s="8"/>
      <c r="P1131" s="8"/>
      <c r="Q1131" s="5"/>
      <c r="R1131" s="26"/>
      <c r="S1131" s="27"/>
    </row>
    <row r="1132" spans="1:19" x14ac:dyDescent="0.3">
      <c r="A1132">
        <v>200010076</v>
      </c>
      <c r="C1132" s="22"/>
      <c r="G1132" s="7"/>
      <c r="K1132" s="7"/>
      <c r="M1132" s="8"/>
      <c r="N1132" s="8"/>
      <c r="P1132" s="8"/>
      <c r="Q1132" s="5"/>
      <c r="R1132" s="26"/>
      <c r="S1132" s="27"/>
    </row>
    <row r="1133" spans="1:19" x14ac:dyDescent="0.3">
      <c r="A1133">
        <v>200010076</v>
      </c>
      <c r="C1133" s="22"/>
      <c r="G1133" s="7"/>
      <c r="K1133" s="7"/>
      <c r="M1133" s="8"/>
      <c r="N1133" s="8"/>
      <c r="P1133" s="8"/>
      <c r="Q1133" s="5"/>
      <c r="R1133" s="26"/>
      <c r="S1133" s="27"/>
    </row>
    <row r="1134" spans="1:19" x14ac:dyDescent="0.3">
      <c r="A1134">
        <v>200010076</v>
      </c>
      <c r="C1134" s="22"/>
      <c r="G1134" s="7"/>
      <c r="K1134" s="7"/>
      <c r="M1134" s="8"/>
      <c r="N1134" s="8"/>
      <c r="P1134" s="8"/>
      <c r="Q1134" s="5"/>
      <c r="R1134" s="26"/>
      <c r="S1134" s="27"/>
    </row>
    <row r="1135" spans="1:19" x14ac:dyDescent="0.3">
      <c r="A1135">
        <v>200010076</v>
      </c>
      <c r="C1135" s="22"/>
      <c r="G1135" s="7"/>
      <c r="K1135" s="7"/>
      <c r="M1135" s="8"/>
      <c r="N1135" s="8"/>
      <c r="P1135" s="8"/>
      <c r="Q1135" s="5"/>
      <c r="R1135" s="26"/>
      <c r="S1135" s="27"/>
    </row>
    <row r="1136" spans="1:19" x14ac:dyDescent="0.3">
      <c r="A1136">
        <v>200010076</v>
      </c>
      <c r="C1136" s="22"/>
      <c r="G1136" s="7"/>
      <c r="K1136" s="7"/>
      <c r="M1136" s="8"/>
      <c r="N1136" s="8"/>
      <c r="P1136" s="8"/>
      <c r="Q1136" s="5"/>
      <c r="R1136" s="26"/>
      <c r="S1136" s="27"/>
    </row>
    <row r="1137" spans="1:19" x14ac:dyDescent="0.3">
      <c r="A1137">
        <v>200010076</v>
      </c>
      <c r="C1137" s="22"/>
      <c r="G1137" s="7"/>
      <c r="K1137" s="7"/>
      <c r="M1137" s="8"/>
      <c r="N1137" s="8"/>
      <c r="P1137" s="8"/>
      <c r="Q1137" s="5"/>
      <c r="R1137" s="26"/>
      <c r="S1137" s="27"/>
    </row>
    <row r="1138" spans="1:19" x14ac:dyDescent="0.3">
      <c r="A1138">
        <v>200010076</v>
      </c>
      <c r="C1138" s="22"/>
      <c r="G1138" s="7"/>
      <c r="K1138" s="7"/>
      <c r="M1138" s="8"/>
      <c r="N1138" s="8"/>
      <c r="P1138" s="8"/>
      <c r="Q1138" s="5"/>
      <c r="R1138" s="26"/>
      <c r="S1138" s="27"/>
    </row>
    <row r="1139" spans="1:19" x14ac:dyDescent="0.3">
      <c r="A1139">
        <v>200010076</v>
      </c>
      <c r="C1139" s="22"/>
      <c r="G1139" s="7"/>
      <c r="K1139" s="7"/>
      <c r="M1139" s="8"/>
      <c r="N1139" s="8"/>
      <c r="P1139" s="8"/>
      <c r="Q1139" s="5"/>
      <c r="R1139" s="26"/>
      <c r="S1139" s="27"/>
    </row>
    <row r="1140" spans="1:19" x14ac:dyDescent="0.3">
      <c r="A1140">
        <v>200010076</v>
      </c>
      <c r="C1140" s="22"/>
      <c r="G1140" s="7"/>
      <c r="K1140" s="7"/>
      <c r="M1140" s="8"/>
      <c r="N1140" s="8"/>
      <c r="P1140" s="8"/>
      <c r="Q1140" s="5"/>
      <c r="R1140" s="26"/>
      <c r="S1140" s="27"/>
    </row>
    <row r="1141" spans="1:19" x14ac:dyDescent="0.3">
      <c r="A1141">
        <v>200010076</v>
      </c>
      <c r="C1141" s="22"/>
      <c r="G1141" s="7"/>
      <c r="K1141" s="7"/>
      <c r="M1141" s="8"/>
      <c r="N1141" s="8"/>
      <c r="P1141" s="8"/>
      <c r="Q1141" s="5"/>
      <c r="R1141" s="26"/>
      <c r="S1141" s="27"/>
    </row>
    <row r="1142" spans="1:19" x14ac:dyDescent="0.3">
      <c r="A1142">
        <v>200010076</v>
      </c>
      <c r="C1142" s="22"/>
      <c r="G1142" s="7"/>
      <c r="K1142" s="7"/>
      <c r="M1142" s="8"/>
      <c r="N1142" s="8"/>
      <c r="P1142" s="8"/>
      <c r="Q1142" s="5"/>
      <c r="R1142" s="26"/>
      <c r="S1142" s="27"/>
    </row>
    <row r="1143" spans="1:19" x14ac:dyDescent="0.3">
      <c r="A1143">
        <v>200010076</v>
      </c>
      <c r="C1143" s="22"/>
      <c r="G1143" s="7"/>
      <c r="K1143" s="7"/>
      <c r="M1143" s="8"/>
      <c r="N1143" s="8"/>
      <c r="P1143" s="8"/>
      <c r="Q1143" s="5"/>
      <c r="R1143" s="26"/>
      <c r="S1143" s="27"/>
    </row>
    <row r="1144" spans="1:19" x14ac:dyDescent="0.3">
      <c r="A1144">
        <v>200010076</v>
      </c>
      <c r="C1144" s="22"/>
      <c r="G1144" s="7"/>
      <c r="K1144" s="7"/>
      <c r="M1144" s="8"/>
      <c r="N1144" s="8"/>
      <c r="P1144" s="8"/>
      <c r="Q1144" s="5"/>
      <c r="R1144" s="26"/>
      <c r="S1144" s="27"/>
    </row>
    <row r="1145" spans="1:19" x14ac:dyDescent="0.3">
      <c r="A1145">
        <v>200010076</v>
      </c>
      <c r="C1145" s="22"/>
      <c r="G1145" s="7"/>
      <c r="K1145" s="7"/>
      <c r="M1145" s="8"/>
      <c r="N1145" s="8"/>
      <c r="P1145" s="8"/>
      <c r="Q1145" s="5"/>
      <c r="R1145" s="26"/>
      <c r="S1145" s="27"/>
    </row>
    <row r="1146" spans="1:19" x14ac:dyDescent="0.3">
      <c r="A1146">
        <v>200010076</v>
      </c>
      <c r="C1146" s="22"/>
      <c r="G1146" s="7"/>
      <c r="K1146" s="7"/>
      <c r="M1146" s="8"/>
      <c r="N1146" s="8"/>
      <c r="P1146" s="8"/>
      <c r="Q1146" s="5"/>
      <c r="R1146" s="26"/>
      <c r="S1146" s="27"/>
    </row>
    <row r="1147" spans="1:19" x14ac:dyDescent="0.3">
      <c r="A1147">
        <v>200010076</v>
      </c>
      <c r="C1147" s="22"/>
      <c r="G1147" s="7"/>
      <c r="K1147" s="7"/>
      <c r="M1147" s="8"/>
      <c r="N1147" s="8"/>
      <c r="P1147" s="8"/>
      <c r="Q1147" s="5"/>
      <c r="R1147" s="26"/>
      <c r="S1147" s="27"/>
    </row>
    <row r="1148" spans="1:19" x14ac:dyDescent="0.3">
      <c r="A1148">
        <v>200010076</v>
      </c>
      <c r="C1148" s="22"/>
      <c r="G1148" s="7"/>
      <c r="K1148" s="7"/>
      <c r="M1148" s="8"/>
      <c r="N1148" s="8"/>
      <c r="P1148" s="8"/>
      <c r="Q1148" s="5"/>
      <c r="R1148" s="26"/>
      <c r="S1148" s="27"/>
    </row>
    <row r="1149" spans="1:19" x14ac:dyDescent="0.3">
      <c r="A1149">
        <v>200010076</v>
      </c>
      <c r="C1149" s="22"/>
      <c r="G1149" s="7"/>
      <c r="K1149" s="7"/>
      <c r="M1149" s="8"/>
      <c r="N1149" s="8"/>
      <c r="P1149" s="8"/>
      <c r="Q1149" s="5"/>
      <c r="R1149" s="26"/>
      <c r="S1149" s="27"/>
    </row>
    <row r="1150" spans="1:19" x14ac:dyDescent="0.3">
      <c r="A1150">
        <v>200010076</v>
      </c>
      <c r="C1150" s="22"/>
      <c r="G1150" s="7"/>
      <c r="K1150" s="7"/>
      <c r="M1150" s="8"/>
      <c r="N1150" s="8"/>
      <c r="P1150" s="8"/>
      <c r="Q1150" s="5"/>
      <c r="R1150" s="26"/>
      <c r="S1150" s="27"/>
    </row>
    <row r="1151" spans="1:19" x14ac:dyDescent="0.3">
      <c r="A1151">
        <v>200010076</v>
      </c>
      <c r="C1151" s="22"/>
      <c r="G1151" s="7"/>
      <c r="K1151" s="7"/>
      <c r="M1151" s="8"/>
      <c r="N1151" s="8"/>
      <c r="P1151" s="8"/>
      <c r="Q1151" s="5"/>
      <c r="R1151" s="26"/>
      <c r="S1151" s="27"/>
    </row>
    <row r="1152" spans="1:19" x14ac:dyDescent="0.3">
      <c r="A1152">
        <v>200010076</v>
      </c>
      <c r="C1152" s="22"/>
      <c r="G1152" s="7"/>
      <c r="K1152" s="7"/>
      <c r="M1152" s="8"/>
      <c r="N1152" s="8"/>
      <c r="P1152" s="8"/>
      <c r="Q1152" s="5"/>
      <c r="R1152" s="26"/>
      <c r="S1152" s="27"/>
    </row>
    <row r="1153" spans="1:19" x14ac:dyDescent="0.3">
      <c r="A1153">
        <v>200010076</v>
      </c>
      <c r="C1153" s="22"/>
      <c r="G1153" s="7"/>
      <c r="K1153" s="7"/>
      <c r="M1153" s="8"/>
      <c r="N1153" s="8"/>
      <c r="P1153" s="8"/>
      <c r="Q1153" s="5"/>
      <c r="R1153" s="26"/>
      <c r="S1153" s="27"/>
    </row>
    <row r="1154" spans="1:19" x14ac:dyDescent="0.3">
      <c r="A1154">
        <v>200010076</v>
      </c>
      <c r="C1154" s="22"/>
      <c r="G1154" s="7"/>
      <c r="K1154" s="7"/>
      <c r="M1154" s="8"/>
      <c r="N1154" s="8"/>
      <c r="P1154" s="8"/>
      <c r="Q1154" s="5"/>
      <c r="R1154" s="26"/>
      <c r="S1154" s="27"/>
    </row>
    <row r="1155" spans="1:19" x14ac:dyDescent="0.3">
      <c r="A1155">
        <v>200010076</v>
      </c>
      <c r="C1155" s="22"/>
      <c r="G1155" s="7"/>
      <c r="K1155" s="7"/>
      <c r="M1155" s="8"/>
      <c r="N1155" s="8"/>
      <c r="P1155" s="8"/>
      <c r="Q1155" s="5"/>
      <c r="R1155" s="26"/>
      <c r="S1155" s="27"/>
    </row>
    <row r="1156" spans="1:19" x14ac:dyDescent="0.3">
      <c r="A1156">
        <v>200010076</v>
      </c>
      <c r="C1156" s="22"/>
      <c r="G1156" s="7"/>
      <c r="K1156" s="7"/>
      <c r="M1156" s="8"/>
      <c r="N1156" s="8"/>
      <c r="P1156" s="8"/>
      <c r="Q1156" s="5"/>
      <c r="R1156" s="26"/>
      <c r="S1156" s="27"/>
    </row>
    <row r="1157" spans="1:19" x14ac:dyDescent="0.3">
      <c r="A1157">
        <v>200010076</v>
      </c>
      <c r="C1157" s="22"/>
      <c r="G1157" s="7"/>
      <c r="K1157" s="7"/>
      <c r="M1157" s="8"/>
      <c r="N1157" s="8"/>
      <c r="P1157" s="8"/>
      <c r="Q1157" s="5"/>
      <c r="R1157" s="26"/>
      <c r="S1157" s="27"/>
    </row>
    <row r="1158" spans="1:19" x14ac:dyDescent="0.3">
      <c r="A1158">
        <v>200010076</v>
      </c>
      <c r="C1158" s="22"/>
      <c r="G1158" s="7"/>
      <c r="K1158" s="7"/>
      <c r="M1158" s="8"/>
      <c r="N1158" s="8"/>
      <c r="P1158" s="8"/>
      <c r="Q1158" s="5"/>
      <c r="R1158" s="26"/>
      <c r="S1158" s="27"/>
    </row>
    <row r="1159" spans="1:19" x14ac:dyDescent="0.3">
      <c r="A1159">
        <v>200010076</v>
      </c>
      <c r="C1159" s="22"/>
      <c r="G1159" s="7"/>
      <c r="K1159" s="7"/>
      <c r="M1159" s="8"/>
      <c r="N1159" s="8"/>
      <c r="P1159" s="8"/>
      <c r="Q1159" s="5"/>
      <c r="R1159" s="26"/>
      <c r="S1159" s="27"/>
    </row>
    <row r="1160" spans="1:19" x14ac:dyDescent="0.3">
      <c r="A1160">
        <v>200010076</v>
      </c>
      <c r="C1160" s="22"/>
      <c r="G1160" s="7"/>
      <c r="K1160" s="7"/>
      <c r="M1160" s="8"/>
      <c r="N1160" s="8"/>
      <c r="P1160" s="8"/>
      <c r="Q1160" s="5"/>
      <c r="R1160" s="26"/>
      <c r="S1160" s="27"/>
    </row>
    <row r="1161" spans="1:19" x14ac:dyDescent="0.3">
      <c r="A1161">
        <v>200010076</v>
      </c>
      <c r="C1161" s="22"/>
      <c r="G1161" s="7"/>
      <c r="K1161" s="7"/>
      <c r="M1161" s="8"/>
      <c r="N1161" s="8"/>
      <c r="P1161" s="8"/>
      <c r="Q1161" s="5"/>
      <c r="R1161" s="26"/>
      <c r="S1161" s="27"/>
    </row>
    <row r="1162" spans="1:19" x14ac:dyDescent="0.3">
      <c r="A1162">
        <v>200010076</v>
      </c>
      <c r="C1162" s="22"/>
      <c r="G1162" s="7"/>
      <c r="K1162" s="7"/>
      <c r="M1162" s="8"/>
      <c r="N1162" s="8"/>
      <c r="P1162" s="8"/>
      <c r="Q1162" s="5"/>
      <c r="R1162" s="26"/>
      <c r="S1162" s="27"/>
    </row>
    <row r="1163" spans="1:19" x14ac:dyDescent="0.3">
      <c r="A1163">
        <v>200010076</v>
      </c>
      <c r="C1163" s="22"/>
      <c r="G1163" s="7"/>
      <c r="K1163" s="7"/>
      <c r="M1163" s="8"/>
      <c r="N1163" s="8"/>
      <c r="P1163" s="8"/>
      <c r="Q1163" s="5"/>
      <c r="R1163" s="26"/>
      <c r="S1163" s="27"/>
    </row>
    <row r="1164" spans="1:19" x14ac:dyDescent="0.3">
      <c r="A1164">
        <v>200010076</v>
      </c>
      <c r="C1164" s="22"/>
      <c r="G1164" s="7"/>
      <c r="K1164" s="7"/>
      <c r="M1164" s="8"/>
      <c r="N1164" s="8"/>
      <c r="P1164" s="8"/>
      <c r="Q1164" s="5"/>
      <c r="R1164" s="26"/>
      <c r="S1164" s="27"/>
    </row>
    <row r="1165" spans="1:19" x14ac:dyDescent="0.3">
      <c r="A1165">
        <v>200010076</v>
      </c>
      <c r="C1165" s="22"/>
      <c r="G1165" s="7"/>
      <c r="K1165" s="7"/>
      <c r="M1165" s="8"/>
      <c r="N1165" s="8"/>
      <c r="P1165" s="8"/>
      <c r="Q1165" s="5"/>
      <c r="R1165" s="26"/>
      <c r="S1165" s="27"/>
    </row>
    <row r="1166" spans="1:19" x14ac:dyDescent="0.3">
      <c r="A1166">
        <v>200010076</v>
      </c>
      <c r="C1166" s="22"/>
      <c r="G1166" s="7"/>
      <c r="K1166" s="7"/>
      <c r="M1166" s="8"/>
      <c r="N1166" s="8"/>
      <c r="P1166" s="8"/>
      <c r="Q1166" s="5"/>
      <c r="R1166" s="26"/>
      <c r="S1166" s="27"/>
    </row>
    <row r="1167" spans="1:19" x14ac:dyDescent="0.3">
      <c r="A1167">
        <v>200010076</v>
      </c>
      <c r="C1167" s="22"/>
      <c r="G1167" s="7"/>
      <c r="K1167" s="7"/>
      <c r="M1167" s="8"/>
      <c r="N1167" s="8"/>
      <c r="P1167" s="8"/>
      <c r="Q1167" s="5"/>
      <c r="R1167" s="26"/>
      <c r="S1167" s="27"/>
    </row>
    <row r="1168" spans="1:19" x14ac:dyDescent="0.3">
      <c r="A1168">
        <v>200010076</v>
      </c>
      <c r="C1168" s="22"/>
      <c r="G1168" s="7"/>
      <c r="K1168" s="7"/>
      <c r="M1168" s="8"/>
      <c r="N1168" s="8"/>
      <c r="P1168" s="8"/>
      <c r="Q1168" s="5"/>
      <c r="R1168" s="26"/>
      <c r="S1168" s="27"/>
    </row>
    <row r="1169" spans="1:19" x14ac:dyDescent="0.3">
      <c r="A1169">
        <v>200010076</v>
      </c>
      <c r="C1169" s="22"/>
      <c r="G1169" s="7"/>
      <c r="K1169" s="7"/>
      <c r="M1169" s="8"/>
      <c r="N1169" s="8"/>
      <c r="P1169" s="8"/>
      <c r="Q1169" s="5"/>
      <c r="R1169" s="26"/>
      <c r="S1169" s="27"/>
    </row>
    <row r="1170" spans="1:19" x14ac:dyDescent="0.3">
      <c r="A1170">
        <v>200010076</v>
      </c>
      <c r="C1170" s="22"/>
      <c r="G1170" s="7"/>
      <c r="K1170" s="7"/>
      <c r="M1170" s="8"/>
      <c r="N1170" s="8"/>
      <c r="P1170" s="8"/>
      <c r="Q1170" s="5"/>
      <c r="R1170" s="26"/>
      <c r="S1170" s="27"/>
    </row>
    <row r="1171" spans="1:19" x14ac:dyDescent="0.3">
      <c r="A1171">
        <v>200010076</v>
      </c>
      <c r="C1171" s="22"/>
      <c r="G1171" s="7"/>
      <c r="K1171" s="7"/>
      <c r="M1171" s="8"/>
      <c r="N1171" s="8"/>
      <c r="P1171" s="8"/>
      <c r="Q1171" s="5"/>
      <c r="R1171" s="26"/>
      <c r="S1171" s="27"/>
    </row>
    <row r="1172" spans="1:19" x14ac:dyDescent="0.3">
      <c r="A1172">
        <v>200010076</v>
      </c>
      <c r="C1172" s="22"/>
      <c r="G1172" s="7"/>
      <c r="K1172" s="7"/>
      <c r="M1172" s="8"/>
      <c r="N1172" s="8"/>
      <c r="P1172" s="8"/>
      <c r="Q1172" s="5"/>
      <c r="R1172" s="26"/>
      <c r="S1172" s="27"/>
    </row>
    <row r="1173" spans="1:19" x14ac:dyDescent="0.3">
      <c r="A1173">
        <v>200010076</v>
      </c>
      <c r="C1173" s="22"/>
      <c r="G1173" s="7"/>
      <c r="K1173" s="7"/>
      <c r="M1173" s="8"/>
      <c r="N1173" s="8"/>
      <c r="P1173" s="8"/>
      <c r="Q1173" s="5"/>
      <c r="R1173" s="26"/>
      <c r="S1173" s="27"/>
    </row>
    <row r="1174" spans="1:19" x14ac:dyDescent="0.3">
      <c r="A1174">
        <v>200010076</v>
      </c>
      <c r="C1174" s="22"/>
      <c r="G1174" s="7"/>
      <c r="K1174" s="7"/>
      <c r="M1174" s="8"/>
      <c r="N1174" s="8"/>
      <c r="P1174" s="8"/>
      <c r="Q1174" s="5"/>
      <c r="R1174" s="26"/>
      <c r="S1174" s="27"/>
    </row>
    <row r="1175" spans="1:19" x14ac:dyDescent="0.3">
      <c r="A1175">
        <v>200010076</v>
      </c>
      <c r="C1175" s="22"/>
      <c r="G1175" s="7"/>
      <c r="K1175" s="7"/>
      <c r="M1175" s="8"/>
      <c r="N1175" s="8"/>
      <c r="P1175" s="8"/>
      <c r="Q1175" s="5"/>
      <c r="R1175" s="26"/>
      <c r="S1175" s="27"/>
    </row>
    <row r="1176" spans="1:19" x14ac:dyDescent="0.3">
      <c r="A1176">
        <v>200010076</v>
      </c>
      <c r="C1176" s="22"/>
      <c r="G1176" s="7"/>
      <c r="K1176" s="7"/>
      <c r="M1176" s="8"/>
      <c r="N1176" s="8"/>
      <c r="P1176" s="8"/>
      <c r="Q1176" s="5"/>
      <c r="R1176" s="26"/>
      <c r="S1176" s="27"/>
    </row>
    <row r="1177" spans="1:19" x14ac:dyDescent="0.3">
      <c r="A1177">
        <v>200010076</v>
      </c>
      <c r="C1177" s="22"/>
      <c r="G1177" s="7"/>
      <c r="K1177" s="7"/>
      <c r="M1177" s="8"/>
      <c r="N1177" s="8"/>
      <c r="P1177" s="8"/>
      <c r="Q1177" s="5"/>
      <c r="R1177" s="26"/>
      <c r="S1177" s="27"/>
    </row>
    <row r="1178" spans="1:19" x14ac:dyDescent="0.3">
      <c r="A1178">
        <v>200010076</v>
      </c>
      <c r="C1178" s="22"/>
      <c r="G1178" s="7"/>
      <c r="K1178" s="7"/>
      <c r="M1178" s="8"/>
      <c r="N1178" s="8"/>
      <c r="P1178" s="8"/>
      <c r="Q1178" s="5"/>
      <c r="R1178" s="26"/>
      <c r="S1178" s="27"/>
    </row>
    <row r="1179" spans="1:19" x14ac:dyDescent="0.3">
      <c r="A1179">
        <v>200010076</v>
      </c>
      <c r="C1179" s="22"/>
      <c r="G1179" s="7"/>
      <c r="K1179" s="7"/>
      <c r="M1179" s="8"/>
      <c r="N1179" s="8"/>
      <c r="P1179" s="8"/>
      <c r="Q1179" s="5"/>
      <c r="R1179" s="26"/>
      <c r="S1179" s="27"/>
    </row>
    <row r="1180" spans="1:19" x14ac:dyDescent="0.3">
      <c r="A1180">
        <v>200010076</v>
      </c>
      <c r="C1180" s="22"/>
      <c r="G1180" s="7"/>
      <c r="K1180" s="7"/>
      <c r="M1180" s="8"/>
      <c r="N1180" s="8"/>
      <c r="P1180" s="8"/>
      <c r="Q1180" s="5"/>
      <c r="R1180" s="26"/>
      <c r="S1180" s="27"/>
    </row>
    <row r="1181" spans="1:19" x14ac:dyDescent="0.3">
      <c r="A1181">
        <v>200010076</v>
      </c>
      <c r="C1181" s="22"/>
      <c r="G1181" s="7"/>
      <c r="K1181" s="7"/>
      <c r="M1181" s="8"/>
      <c r="N1181" s="8"/>
      <c r="P1181" s="8"/>
      <c r="Q1181" s="5"/>
      <c r="R1181" s="26"/>
      <c r="S1181" s="27"/>
    </row>
    <row r="1182" spans="1:19" x14ac:dyDescent="0.3">
      <c r="A1182">
        <v>200010076</v>
      </c>
      <c r="C1182" s="22"/>
      <c r="G1182" s="7"/>
      <c r="K1182" s="7"/>
      <c r="M1182" s="8"/>
      <c r="N1182" s="8"/>
      <c r="P1182" s="8"/>
      <c r="Q1182" s="5"/>
      <c r="R1182" s="26"/>
      <c r="S1182" s="27"/>
    </row>
    <row r="1183" spans="1:19" x14ac:dyDescent="0.3">
      <c r="A1183">
        <v>200010076</v>
      </c>
      <c r="C1183" s="22"/>
      <c r="G1183" s="7"/>
      <c r="K1183" s="7"/>
      <c r="M1183" s="8"/>
      <c r="N1183" s="8"/>
      <c r="P1183" s="8"/>
      <c r="Q1183" s="5"/>
      <c r="R1183" s="26"/>
      <c r="S1183" s="27"/>
    </row>
    <row r="1184" spans="1:19" x14ac:dyDescent="0.3">
      <c r="A1184">
        <v>200010076</v>
      </c>
      <c r="C1184" s="22"/>
      <c r="G1184" s="7"/>
      <c r="K1184" s="7"/>
      <c r="M1184" s="8"/>
      <c r="N1184" s="8"/>
      <c r="P1184" s="8"/>
      <c r="Q1184" s="5"/>
      <c r="R1184" s="26"/>
      <c r="S1184" s="27"/>
    </row>
    <row r="1185" spans="1:19" x14ac:dyDescent="0.3">
      <c r="A1185">
        <v>200010076</v>
      </c>
      <c r="C1185" s="22"/>
      <c r="G1185" s="7"/>
      <c r="K1185" s="7"/>
      <c r="M1185" s="8"/>
      <c r="N1185" s="8"/>
      <c r="P1185" s="8"/>
      <c r="Q1185" s="5"/>
      <c r="R1185" s="26"/>
      <c r="S1185" s="27"/>
    </row>
    <row r="1186" spans="1:19" x14ac:dyDescent="0.3">
      <c r="A1186">
        <v>200010076</v>
      </c>
      <c r="C1186" s="22"/>
      <c r="G1186" s="7"/>
      <c r="K1186" s="7"/>
      <c r="M1186" s="8"/>
      <c r="N1186" s="8"/>
      <c r="P1186" s="8"/>
      <c r="Q1186" s="5"/>
      <c r="R1186" s="26"/>
      <c r="S1186" s="27"/>
    </row>
    <row r="1187" spans="1:19" x14ac:dyDescent="0.3">
      <c r="A1187">
        <v>200010076</v>
      </c>
      <c r="C1187" s="22"/>
      <c r="G1187" s="7"/>
      <c r="K1187" s="7"/>
      <c r="M1187" s="8"/>
      <c r="N1187" s="8"/>
      <c r="P1187" s="8"/>
      <c r="Q1187" s="5"/>
      <c r="R1187" s="26"/>
      <c r="S1187" s="27"/>
    </row>
    <row r="1188" spans="1:19" x14ac:dyDescent="0.3">
      <c r="A1188">
        <v>200010076</v>
      </c>
      <c r="C1188" s="22"/>
      <c r="G1188" s="7"/>
      <c r="K1188" s="7"/>
      <c r="M1188" s="8"/>
      <c r="N1188" s="8"/>
      <c r="P1188" s="8"/>
      <c r="Q1188" s="5"/>
      <c r="R1188" s="26"/>
      <c r="S1188" s="27"/>
    </row>
    <row r="1189" spans="1:19" x14ac:dyDescent="0.3">
      <c r="A1189">
        <v>200010076</v>
      </c>
      <c r="C1189" s="22"/>
      <c r="G1189" s="7"/>
      <c r="K1189" s="7"/>
      <c r="M1189" s="8"/>
      <c r="N1189" s="8"/>
      <c r="P1189" s="8"/>
      <c r="Q1189" s="5"/>
      <c r="R1189" s="26"/>
      <c r="S1189" s="27"/>
    </row>
    <row r="1190" spans="1:19" x14ac:dyDescent="0.3">
      <c r="A1190">
        <v>200010076</v>
      </c>
      <c r="C1190" s="22"/>
      <c r="G1190" s="7"/>
      <c r="K1190" s="7"/>
      <c r="M1190" s="8"/>
      <c r="N1190" s="8"/>
      <c r="P1190" s="8"/>
      <c r="Q1190" s="5"/>
      <c r="R1190" s="26"/>
      <c r="S1190" s="27"/>
    </row>
    <row r="1191" spans="1:19" x14ac:dyDescent="0.3">
      <c r="A1191">
        <v>200010076</v>
      </c>
      <c r="C1191" s="22"/>
      <c r="G1191" s="7"/>
      <c r="K1191" s="7"/>
      <c r="M1191" s="8"/>
      <c r="N1191" s="8"/>
      <c r="P1191" s="8"/>
      <c r="Q1191" s="5"/>
      <c r="R1191" s="26"/>
      <c r="S1191" s="27"/>
    </row>
    <row r="1192" spans="1:19" x14ac:dyDescent="0.3">
      <c r="A1192">
        <v>200010076</v>
      </c>
      <c r="C1192" s="22"/>
      <c r="G1192" s="7"/>
      <c r="K1192" s="7"/>
      <c r="M1192" s="8"/>
      <c r="N1192" s="8"/>
      <c r="P1192" s="8"/>
      <c r="Q1192" s="5"/>
      <c r="R1192" s="26"/>
      <c r="S1192" s="27"/>
    </row>
    <row r="1193" spans="1:19" x14ac:dyDescent="0.3">
      <c r="A1193">
        <v>200010076</v>
      </c>
      <c r="C1193" s="22"/>
      <c r="G1193" s="7"/>
      <c r="K1193" s="7"/>
      <c r="M1193" s="8"/>
      <c r="N1193" s="8"/>
      <c r="P1193" s="8"/>
      <c r="Q1193" s="5"/>
      <c r="R1193" s="26"/>
      <c r="S1193" s="27"/>
    </row>
    <row r="1194" spans="1:19" x14ac:dyDescent="0.3">
      <c r="A1194">
        <v>200010076</v>
      </c>
      <c r="C1194" s="22"/>
      <c r="G1194" s="7"/>
      <c r="K1194" s="7"/>
      <c r="M1194" s="8"/>
      <c r="N1194" s="8"/>
      <c r="P1194" s="8"/>
      <c r="Q1194" s="5"/>
      <c r="R1194" s="26"/>
      <c r="S1194" s="27"/>
    </row>
    <row r="1195" spans="1:19" x14ac:dyDescent="0.3">
      <c r="A1195">
        <v>200010076</v>
      </c>
      <c r="C1195" s="22"/>
      <c r="G1195" s="7"/>
      <c r="K1195" s="7"/>
      <c r="M1195" s="8"/>
      <c r="N1195" s="8"/>
      <c r="P1195" s="8"/>
      <c r="Q1195" s="5"/>
      <c r="R1195" s="26"/>
      <c r="S1195" s="27"/>
    </row>
    <row r="1196" spans="1:19" x14ac:dyDescent="0.3">
      <c r="A1196">
        <v>200010076</v>
      </c>
      <c r="C1196" s="22"/>
      <c r="G1196" s="7"/>
      <c r="K1196" s="7"/>
      <c r="M1196" s="8"/>
      <c r="N1196" s="8"/>
      <c r="P1196" s="8"/>
      <c r="Q1196" s="5"/>
      <c r="R1196" s="26"/>
      <c r="S1196" s="27"/>
    </row>
    <row r="1197" spans="1:19" x14ac:dyDescent="0.3">
      <c r="A1197">
        <v>200010076</v>
      </c>
      <c r="C1197" s="22"/>
      <c r="G1197" s="7"/>
      <c r="K1197" s="7"/>
      <c r="M1197" s="8"/>
      <c r="N1197" s="8"/>
      <c r="P1197" s="8"/>
      <c r="Q1197" s="5"/>
      <c r="R1197" s="26"/>
      <c r="S1197" s="27"/>
    </row>
    <row r="1198" spans="1:19" x14ac:dyDescent="0.3">
      <c r="A1198">
        <v>200010076</v>
      </c>
      <c r="C1198" s="22"/>
      <c r="G1198" s="7"/>
      <c r="K1198" s="7"/>
      <c r="M1198" s="8"/>
      <c r="N1198" s="8"/>
      <c r="P1198" s="8"/>
      <c r="Q1198" s="5"/>
      <c r="R1198" s="26"/>
      <c r="S1198" s="27"/>
    </row>
    <row r="1199" spans="1:19" x14ac:dyDescent="0.3">
      <c r="A1199">
        <v>200010076</v>
      </c>
      <c r="C1199" s="22"/>
      <c r="G1199" s="7"/>
      <c r="K1199" s="7"/>
      <c r="M1199" s="8"/>
      <c r="N1199" s="8"/>
      <c r="P1199" s="8"/>
      <c r="Q1199" s="5"/>
      <c r="R1199" s="26"/>
      <c r="S1199" s="27"/>
    </row>
    <row r="1200" spans="1:19" x14ac:dyDescent="0.3">
      <c r="A1200">
        <v>200010076</v>
      </c>
      <c r="C1200" s="22"/>
      <c r="G1200" s="7"/>
      <c r="K1200" s="7"/>
      <c r="M1200" s="8"/>
      <c r="N1200" s="8"/>
      <c r="P1200" s="8"/>
      <c r="Q1200" s="5"/>
      <c r="R1200" s="26"/>
      <c r="S1200" s="27"/>
    </row>
    <row r="1201" spans="1:19" x14ac:dyDescent="0.3">
      <c r="A1201">
        <v>200010076</v>
      </c>
      <c r="C1201" s="22"/>
      <c r="G1201" s="7"/>
      <c r="K1201" s="7"/>
      <c r="M1201" s="8"/>
      <c r="N1201" s="8"/>
      <c r="P1201" s="8"/>
      <c r="Q1201" s="5"/>
      <c r="R1201" s="26"/>
      <c r="S1201" s="27"/>
    </row>
    <row r="1202" spans="1:19" x14ac:dyDescent="0.3">
      <c r="A1202">
        <v>200010076</v>
      </c>
      <c r="C1202" s="22"/>
      <c r="G1202" s="7"/>
      <c r="K1202" s="7"/>
      <c r="M1202" s="8"/>
      <c r="N1202" s="8"/>
      <c r="P1202" s="8"/>
      <c r="Q1202" s="5"/>
      <c r="R1202" s="26"/>
      <c r="S1202" s="27"/>
    </row>
    <row r="1203" spans="1:19" x14ac:dyDescent="0.3">
      <c r="A1203">
        <v>200010076</v>
      </c>
      <c r="C1203" s="22"/>
      <c r="G1203" s="7"/>
      <c r="K1203" s="7"/>
      <c r="M1203" s="8"/>
      <c r="N1203" s="8"/>
      <c r="P1203" s="8"/>
      <c r="Q1203" s="5"/>
      <c r="R1203" s="26"/>
      <c r="S1203" s="27"/>
    </row>
    <row r="1204" spans="1:19" x14ac:dyDescent="0.3">
      <c r="A1204">
        <v>200010076</v>
      </c>
      <c r="C1204" s="22"/>
      <c r="G1204" s="7"/>
      <c r="K1204" s="7"/>
      <c r="M1204" s="8"/>
      <c r="N1204" s="8"/>
      <c r="P1204" s="8"/>
      <c r="Q1204" s="5"/>
      <c r="R1204" s="26"/>
      <c r="S1204" s="27"/>
    </row>
    <row r="1205" spans="1:19" x14ac:dyDescent="0.3">
      <c r="A1205">
        <v>200010076</v>
      </c>
      <c r="C1205" s="22"/>
      <c r="G1205" s="7"/>
      <c r="K1205" s="7"/>
      <c r="M1205" s="8"/>
      <c r="N1205" s="8"/>
      <c r="P1205" s="8"/>
      <c r="Q1205" s="5"/>
      <c r="R1205" s="26"/>
      <c r="S1205" s="27"/>
    </row>
    <row r="1206" spans="1:19" x14ac:dyDescent="0.3">
      <c r="A1206">
        <v>200010076</v>
      </c>
      <c r="C1206" s="22"/>
      <c r="G1206" s="7"/>
      <c r="K1206" s="7"/>
      <c r="M1206" s="8"/>
      <c r="N1206" s="8"/>
      <c r="P1206" s="8"/>
      <c r="Q1206" s="5"/>
      <c r="R1206" s="26"/>
      <c r="S1206" s="27"/>
    </row>
    <row r="1207" spans="1:19" x14ac:dyDescent="0.3">
      <c r="A1207">
        <v>200010076</v>
      </c>
      <c r="C1207" s="22"/>
      <c r="G1207" s="7"/>
      <c r="K1207" s="7"/>
      <c r="M1207" s="8"/>
      <c r="N1207" s="8"/>
      <c r="P1207" s="8"/>
      <c r="Q1207" s="5"/>
      <c r="R1207" s="26"/>
      <c r="S1207" s="27"/>
    </row>
    <row r="1208" spans="1:19" x14ac:dyDescent="0.3">
      <c r="A1208">
        <v>200010076</v>
      </c>
      <c r="C1208" s="22"/>
      <c r="G1208" s="7"/>
      <c r="K1208" s="7"/>
      <c r="M1208" s="8"/>
      <c r="N1208" s="8"/>
      <c r="P1208" s="8"/>
      <c r="Q1208" s="5"/>
      <c r="R1208" s="26"/>
      <c r="S1208" s="27"/>
    </row>
    <row r="1209" spans="1:19" x14ac:dyDescent="0.3">
      <c r="A1209">
        <v>200010076</v>
      </c>
      <c r="C1209" s="22"/>
      <c r="G1209" s="7"/>
      <c r="K1209" s="7"/>
      <c r="M1209" s="8"/>
      <c r="N1209" s="8"/>
      <c r="P1209" s="8"/>
      <c r="Q1209" s="5"/>
      <c r="R1209" s="26"/>
      <c r="S1209" s="27"/>
    </row>
    <row r="1210" spans="1:19" x14ac:dyDescent="0.3">
      <c r="A1210">
        <v>200010076</v>
      </c>
      <c r="C1210" s="22"/>
      <c r="G1210" s="7"/>
      <c r="K1210" s="7"/>
      <c r="M1210" s="8"/>
      <c r="N1210" s="8"/>
      <c r="P1210" s="8"/>
      <c r="Q1210" s="5"/>
      <c r="R1210" s="26"/>
      <c r="S1210" s="27"/>
    </row>
    <row r="1211" spans="1:19" x14ac:dyDescent="0.3">
      <c r="A1211">
        <v>200010076</v>
      </c>
      <c r="C1211" s="22"/>
      <c r="G1211" s="7"/>
      <c r="K1211" s="7"/>
      <c r="M1211" s="8"/>
      <c r="N1211" s="8"/>
      <c r="P1211" s="8"/>
      <c r="Q1211" s="5"/>
      <c r="R1211" s="26"/>
      <c r="S1211" s="27"/>
    </row>
    <row r="1212" spans="1:19" x14ac:dyDescent="0.3">
      <c r="A1212">
        <v>200010076</v>
      </c>
      <c r="C1212" s="22"/>
      <c r="G1212" s="7"/>
      <c r="K1212" s="7"/>
      <c r="M1212" s="8"/>
      <c r="N1212" s="8"/>
      <c r="P1212" s="8"/>
      <c r="Q1212" s="5"/>
      <c r="R1212" s="26"/>
      <c r="S1212" s="27"/>
    </row>
    <row r="1213" spans="1:19" x14ac:dyDescent="0.3">
      <c r="A1213">
        <v>200010076</v>
      </c>
      <c r="C1213" s="22"/>
      <c r="G1213" s="7"/>
      <c r="K1213" s="7"/>
      <c r="M1213" s="8"/>
      <c r="N1213" s="8"/>
      <c r="P1213" s="8"/>
      <c r="Q1213" s="5"/>
      <c r="R1213" s="26"/>
      <c r="S1213" s="27"/>
    </row>
    <row r="1214" spans="1:19" x14ac:dyDescent="0.3">
      <c r="A1214">
        <v>200010076</v>
      </c>
      <c r="C1214" s="22"/>
      <c r="G1214" s="7"/>
      <c r="K1214" s="7"/>
      <c r="M1214" s="8"/>
      <c r="N1214" s="8"/>
      <c r="P1214" s="8"/>
      <c r="Q1214" s="5"/>
      <c r="R1214" s="26"/>
      <c r="S1214" s="27"/>
    </row>
    <row r="1215" spans="1:19" x14ac:dyDescent="0.3">
      <c r="A1215">
        <v>200010076</v>
      </c>
      <c r="C1215" s="22"/>
      <c r="G1215" s="7"/>
      <c r="K1215" s="7"/>
      <c r="M1215" s="8"/>
      <c r="N1215" s="8"/>
      <c r="P1215" s="8"/>
      <c r="Q1215" s="5"/>
      <c r="R1215" s="26"/>
      <c r="S1215" s="27"/>
    </row>
    <row r="1216" spans="1:19" x14ac:dyDescent="0.3">
      <c r="A1216">
        <v>200010076</v>
      </c>
      <c r="C1216" s="22"/>
      <c r="G1216" s="7"/>
      <c r="K1216" s="7"/>
      <c r="M1216" s="8"/>
      <c r="N1216" s="8"/>
      <c r="P1216" s="8"/>
      <c r="Q1216" s="5"/>
      <c r="R1216" s="26"/>
      <c r="S1216" s="27"/>
    </row>
    <row r="1217" spans="1:19" x14ac:dyDescent="0.3">
      <c r="A1217">
        <v>200010076</v>
      </c>
      <c r="C1217" s="22"/>
      <c r="G1217" s="7"/>
      <c r="K1217" s="7"/>
      <c r="M1217" s="8"/>
      <c r="N1217" s="8"/>
      <c r="P1217" s="8"/>
      <c r="Q1217" s="5"/>
      <c r="R1217" s="26"/>
      <c r="S1217" s="27"/>
    </row>
    <row r="1218" spans="1:19" x14ac:dyDescent="0.3">
      <c r="A1218">
        <v>200010076</v>
      </c>
      <c r="C1218" s="22"/>
      <c r="G1218" s="7"/>
      <c r="K1218" s="7"/>
      <c r="M1218" s="8"/>
      <c r="N1218" s="8"/>
      <c r="P1218" s="8"/>
      <c r="Q1218" s="5"/>
      <c r="R1218" s="26"/>
      <c r="S1218" s="27"/>
    </row>
    <row r="1219" spans="1:19" x14ac:dyDescent="0.3">
      <c r="A1219">
        <v>200010076</v>
      </c>
      <c r="C1219" s="22"/>
      <c r="G1219" s="7"/>
      <c r="K1219" s="7"/>
      <c r="M1219" s="8"/>
      <c r="N1219" s="8"/>
      <c r="P1219" s="8"/>
      <c r="Q1219" s="5"/>
      <c r="R1219" s="26"/>
      <c r="S1219" s="27"/>
    </row>
    <row r="1220" spans="1:19" x14ac:dyDescent="0.3">
      <c r="A1220">
        <v>200010076</v>
      </c>
      <c r="C1220" s="22"/>
      <c r="G1220" s="7"/>
      <c r="K1220" s="7"/>
      <c r="M1220" s="8"/>
      <c r="N1220" s="8"/>
      <c r="P1220" s="8"/>
      <c r="Q1220" s="5"/>
      <c r="R1220" s="26"/>
      <c r="S1220" s="27"/>
    </row>
    <row r="1221" spans="1:19" x14ac:dyDescent="0.3">
      <c r="A1221">
        <v>200010076</v>
      </c>
      <c r="C1221" s="22"/>
      <c r="G1221" s="7"/>
      <c r="K1221" s="7"/>
      <c r="M1221" s="8"/>
      <c r="N1221" s="8"/>
      <c r="P1221" s="8"/>
      <c r="Q1221" s="5"/>
      <c r="R1221" s="26"/>
      <c r="S1221" s="27"/>
    </row>
    <row r="1222" spans="1:19" x14ac:dyDescent="0.3">
      <c r="A1222">
        <v>200010076</v>
      </c>
      <c r="C1222" s="22"/>
      <c r="G1222" s="7"/>
      <c r="K1222" s="7"/>
      <c r="M1222" s="8"/>
      <c r="N1222" s="8"/>
      <c r="P1222" s="8"/>
      <c r="Q1222" s="5"/>
      <c r="R1222" s="26"/>
      <c r="S1222" s="27"/>
    </row>
    <row r="1223" spans="1:19" x14ac:dyDescent="0.3">
      <c r="A1223">
        <v>200010076</v>
      </c>
      <c r="C1223" s="22"/>
      <c r="G1223" s="7"/>
      <c r="K1223" s="7"/>
      <c r="M1223" s="8"/>
      <c r="N1223" s="8"/>
      <c r="P1223" s="8"/>
      <c r="Q1223" s="5"/>
      <c r="R1223" s="26"/>
      <c r="S1223" s="27"/>
    </row>
    <row r="1224" spans="1:19" x14ac:dyDescent="0.3">
      <c r="A1224">
        <v>200010076</v>
      </c>
      <c r="C1224" s="22"/>
      <c r="G1224" s="7"/>
      <c r="K1224" s="7"/>
      <c r="M1224" s="8"/>
      <c r="N1224" s="8"/>
      <c r="P1224" s="8"/>
      <c r="Q1224" s="5"/>
      <c r="R1224" s="26"/>
      <c r="S1224" s="27"/>
    </row>
    <row r="1225" spans="1:19" x14ac:dyDescent="0.3">
      <c r="A1225">
        <v>200010076</v>
      </c>
      <c r="C1225" s="22"/>
      <c r="G1225" s="7"/>
      <c r="K1225" s="7"/>
      <c r="M1225" s="8"/>
      <c r="N1225" s="8"/>
      <c r="P1225" s="8"/>
      <c r="Q1225" s="5"/>
      <c r="R1225" s="26"/>
      <c r="S1225" s="27"/>
    </row>
    <row r="1226" spans="1:19" x14ac:dyDescent="0.3">
      <c r="A1226">
        <v>200010076</v>
      </c>
      <c r="C1226" s="22"/>
      <c r="G1226" s="7"/>
      <c r="K1226" s="7"/>
      <c r="M1226" s="8"/>
      <c r="N1226" s="8"/>
      <c r="P1226" s="8"/>
      <c r="Q1226" s="5"/>
      <c r="R1226" s="26"/>
      <c r="S1226" s="27"/>
    </row>
    <row r="1227" spans="1:19" x14ac:dyDescent="0.3">
      <c r="A1227">
        <v>200010076</v>
      </c>
      <c r="C1227" s="22"/>
      <c r="G1227" s="7"/>
      <c r="K1227" s="7"/>
      <c r="M1227" s="8"/>
      <c r="N1227" s="8"/>
      <c r="P1227" s="8"/>
      <c r="Q1227" s="5"/>
      <c r="R1227" s="26"/>
      <c r="S1227" s="27"/>
    </row>
    <row r="1228" spans="1:19" x14ac:dyDescent="0.3">
      <c r="A1228">
        <v>200010076</v>
      </c>
      <c r="C1228" s="22"/>
      <c r="G1228" s="7"/>
      <c r="K1228" s="7"/>
      <c r="M1228" s="8"/>
      <c r="N1228" s="8"/>
      <c r="P1228" s="8"/>
      <c r="Q1228" s="5"/>
      <c r="R1228" s="26"/>
      <c r="S1228" s="27"/>
    </row>
    <row r="1229" spans="1:19" x14ac:dyDescent="0.3">
      <c r="A1229">
        <v>200010076</v>
      </c>
      <c r="C1229" s="22"/>
      <c r="G1229" s="7"/>
      <c r="K1229" s="7"/>
      <c r="M1229" s="8"/>
      <c r="N1229" s="8"/>
      <c r="P1229" s="8"/>
      <c r="Q1229" s="5"/>
      <c r="R1229" s="26"/>
      <c r="S1229" s="27"/>
    </row>
    <row r="1230" spans="1:19" x14ac:dyDescent="0.3">
      <c r="A1230">
        <v>200010076</v>
      </c>
      <c r="C1230" s="22"/>
      <c r="G1230" s="7"/>
      <c r="K1230" s="7"/>
      <c r="M1230" s="8"/>
      <c r="N1230" s="8"/>
      <c r="P1230" s="8"/>
      <c r="Q1230" s="5"/>
      <c r="R1230" s="26"/>
      <c r="S1230" s="27"/>
    </row>
    <row r="1231" spans="1:19" x14ac:dyDescent="0.3">
      <c r="A1231">
        <v>200010076</v>
      </c>
      <c r="C1231" s="22"/>
      <c r="G1231" s="7"/>
      <c r="K1231" s="7"/>
      <c r="M1231" s="8"/>
      <c r="N1231" s="8"/>
      <c r="P1231" s="8"/>
      <c r="Q1231" s="5"/>
      <c r="R1231" s="26"/>
      <c r="S1231" s="27"/>
    </row>
    <row r="1232" spans="1:19" x14ac:dyDescent="0.3">
      <c r="A1232">
        <v>200010076</v>
      </c>
      <c r="C1232" s="22"/>
      <c r="G1232" s="7"/>
      <c r="K1232" s="7"/>
      <c r="M1232" s="8"/>
      <c r="N1232" s="8"/>
      <c r="P1232" s="8"/>
      <c r="Q1232" s="5"/>
      <c r="R1232" s="26"/>
      <c r="S1232" s="27"/>
    </row>
    <row r="1233" spans="1:19" x14ac:dyDescent="0.3">
      <c r="A1233">
        <v>200010076</v>
      </c>
      <c r="C1233" s="22"/>
      <c r="G1233" s="7"/>
      <c r="K1233" s="7"/>
      <c r="M1233" s="8"/>
      <c r="N1233" s="8"/>
      <c r="P1233" s="8"/>
      <c r="Q1233" s="5"/>
      <c r="R1233" s="26"/>
      <c r="S1233" s="27"/>
    </row>
    <row r="1234" spans="1:19" x14ac:dyDescent="0.3">
      <c r="A1234">
        <v>200010076</v>
      </c>
      <c r="C1234" s="22"/>
      <c r="G1234" s="7"/>
      <c r="K1234" s="7"/>
      <c r="M1234" s="8"/>
      <c r="N1234" s="8"/>
      <c r="P1234" s="8"/>
      <c r="Q1234" s="5"/>
      <c r="R1234" s="26"/>
      <c r="S1234" s="27"/>
    </row>
    <row r="1235" spans="1:19" x14ac:dyDescent="0.3">
      <c r="A1235">
        <v>200010076</v>
      </c>
      <c r="C1235" s="22"/>
      <c r="G1235" s="7"/>
      <c r="K1235" s="7"/>
      <c r="M1235" s="8"/>
      <c r="N1235" s="8"/>
      <c r="P1235" s="8"/>
      <c r="Q1235" s="5"/>
      <c r="R1235" s="26"/>
      <c r="S1235" s="27"/>
    </row>
    <row r="1236" spans="1:19" x14ac:dyDescent="0.3">
      <c r="A1236">
        <v>200010076</v>
      </c>
      <c r="C1236" s="22"/>
      <c r="G1236" s="7"/>
      <c r="K1236" s="7"/>
      <c r="M1236" s="8"/>
      <c r="N1236" s="8"/>
      <c r="P1236" s="8"/>
      <c r="Q1236" s="5"/>
      <c r="R1236" s="26"/>
      <c r="S1236" s="27"/>
    </row>
    <row r="1237" spans="1:19" x14ac:dyDescent="0.3">
      <c r="A1237">
        <v>200010076</v>
      </c>
      <c r="C1237" s="22"/>
      <c r="G1237" s="7"/>
      <c r="K1237" s="7"/>
      <c r="M1237" s="8"/>
      <c r="N1237" s="8"/>
      <c r="P1237" s="8"/>
      <c r="Q1237" s="5"/>
      <c r="R1237" s="26"/>
      <c r="S1237" s="27"/>
    </row>
    <row r="1238" spans="1:19" x14ac:dyDescent="0.3">
      <c r="A1238">
        <v>200010076</v>
      </c>
      <c r="C1238" s="22"/>
      <c r="G1238" s="7"/>
      <c r="K1238" s="7"/>
      <c r="M1238" s="8"/>
      <c r="N1238" s="8"/>
      <c r="P1238" s="8"/>
      <c r="Q1238" s="5"/>
      <c r="R1238" s="26"/>
      <c r="S1238" s="27"/>
    </row>
    <row r="1239" spans="1:19" x14ac:dyDescent="0.3">
      <c r="A1239">
        <v>200010076</v>
      </c>
      <c r="C1239" s="22"/>
      <c r="G1239" s="7"/>
      <c r="K1239" s="7"/>
      <c r="M1239" s="8"/>
      <c r="N1239" s="8"/>
      <c r="P1239" s="8"/>
      <c r="Q1239" s="5"/>
      <c r="R1239" s="26"/>
      <c r="S1239" s="27"/>
    </row>
    <row r="1240" spans="1:19" x14ac:dyDescent="0.3">
      <c r="A1240">
        <v>200010076</v>
      </c>
      <c r="C1240" s="22"/>
      <c r="G1240" s="7"/>
      <c r="K1240" s="7"/>
      <c r="M1240" s="8"/>
      <c r="N1240" s="8"/>
      <c r="P1240" s="8"/>
      <c r="Q1240" s="5"/>
      <c r="R1240" s="26"/>
      <c r="S1240" s="27"/>
    </row>
    <row r="1241" spans="1:19" x14ac:dyDescent="0.3">
      <c r="A1241">
        <v>200010076</v>
      </c>
      <c r="C1241" s="22"/>
      <c r="G1241" s="7"/>
      <c r="K1241" s="7"/>
      <c r="M1241" s="8"/>
      <c r="N1241" s="8"/>
      <c r="P1241" s="8"/>
      <c r="Q1241" s="5"/>
      <c r="R1241" s="26"/>
      <c r="S1241" s="27"/>
    </row>
    <row r="1242" spans="1:19" x14ac:dyDescent="0.3">
      <c r="A1242">
        <v>200010076</v>
      </c>
      <c r="C1242" s="22"/>
      <c r="G1242" s="7"/>
      <c r="K1242" s="7"/>
      <c r="M1242" s="8"/>
      <c r="N1242" s="8"/>
      <c r="P1242" s="8"/>
      <c r="Q1242" s="5"/>
      <c r="R1242" s="26"/>
      <c r="S1242" s="27"/>
    </row>
    <row r="1243" spans="1:19" x14ac:dyDescent="0.3">
      <c r="A1243">
        <v>200010076</v>
      </c>
      <c r="C1243" s="22"/>
      <c r="G1243" s="7"/>
      <c r="K1243" s="7"/>
      <c r="M1243" s="8"/>
      <c r="N1243" s="8"/>
      <c r="P1243" s="8"/>
      <c r="Q1243" s="5"/>
      <c r="R1243" s="26"/>
      <c r="S1243" s="27"/>
    </row>
    <row r="1244" spans="1:19" x14ac:dyDescent="0.3">
      <c r="A1244">
        <v>200010076</v>
      </c>
      <c r="C1244" s="22"/>
      <c r="G1244" s="7"/>
      <c r="K1244" s="7"/>
      <c r="M1244" s="8"/>
      <c r="N1244" s="8"/>
      <c r="P1244" s="8"/>
      <c r="Q1244" s="5"/>
      <c r="R1244" s="26"/>
      <c r="S1244" s="27"/>
    </row>
    <row r="1245" spans="1:19" x14ac:dyDescent="0.3">
      <c r="A1245">
        <v>200010076</v>
      </c>
      <c r="C1245" s="22"/>
      <c r="G1245" s="7"/>
      <c r="K1245" s="7"/>
      <c r="M1245" s="8"/>
      <c r="N1245" s="8"/>
      <c r="P1245" s="8"/>
      <c r="Q1245" s="5"/>
      <c r="R1245" s="26"/>
      <c r="S1245" s="27"/>
    </row>
    <row r="1246" spans="1:19" x14ac:dyDescent="0.3">
      <c r="A1246">
        <v>200010076</v>
      </c>
      <c r="C1246" s="22"/>
      <c r="G1246" s="7"/>
      <c r="K1246" s="7"/>
      <c r="M1246" s="8"/>
      <c r="N1246" s="8"/>
      <c r="P1246" s="8"/>
      <c r="Q1246" s="5"/>
      <c r="R1246" s="26"/>
      <c r="S1246" s="27"/>
    </row>
    <row r="1247" spans="1:19" x14ac:dyDescent="0.3">
      <c r="A1247">
        <v>200010076</v>
      </c>
      <c r="C1247" s="22"/>
      <c r="G1247" s="7"/>
      <c r="K1247" s="7"/>
      <c r="M1247" s="8"/>
      <c r="N1247" s="8"/>
      <c r="P1247" s="8"/>
      <c r="Q1247" s="5"/>
      <c r="R1247" s="26"/>
      <c r="S1247" s="27"/>
    </row>
    <row r="1248" spans="1:19" x14ac:dyDescent="0.3">
      <c r="A1248">
        <v>200010076</v>
      </c>
      <c r="C1248" s="22"/>
      <c r="G1248" s="7"/>
      <c r="K1248" s="7"/>
      <c r="M1248" s="8"/>
      <c r="N1248" s="8"/>
      <c r="P1248" s="8"/>
      <c r="Q1248" s="5"/>
      <c r="R1248" s="26"/>
      <c r="S1248" s="27"/>
    </row>
    <row r="1249" spans="1:19" x14ac:dyDescent="0.3">
      <c r="A1249">
        <v>200010076</v>
      </c>
      <c r="C1249" s="22"/>
      <c r="G1249" s="7"/>
      <c r="K1249" s="7"/>
      <c r="M1249" s="8"/>
      <c r="N1249" s="8"/>
      <c r="P1249" s="8"/>
      <c r="Q1249" s="5"/>
      <c r="R1249" s="26"/>
      <c r="S1249" s="27"/>
    </row>
    <row r="1250" spans="1:19" x14ac:dyDescent="0.3">
      <c r="A1250">
        <v>200010076</v>
      </c>
      <c r="C1250" s="22"/>
      <c r="G1250" s="7"/>
      <c r="K1250" s="7"/>
      <c r="M1250" s="8"/>
      <c r="N1250" s="8"/>
      <c r="P1250" s="8"/>
      <c r="Q1250" s="5"/>
      <c r="R1250" s="26"/>
      <c r="S1250" s="27"/>
    </row>
    <row r="1251" spans="1:19" x14ac:dyDescent="0.3">
      <c r="A1251">
        <v>200010076</v>
      </c>
      <c r="C1251" s="22"/>
      <c r="G1251" s="7"/>
      <c r="K1251" s="7"/>
      <c r="M1251" s="8"/>
      <c r="N1251" s="8"/>
      <c r="P1251" s="8"/>
      <c r="Q1251" s="5"/>
      <c r="R1251" s="26"/>
      <c r="S1251" s="27"/>
    </row>
    <row r="1252" spans="1:19" x14ac:dyDescent="0.3">
      <c r="A1252">
        <v>200010076</v>
      </c>
      <c r="C1252" s="22"/>
      <c r="G1252" s="7"/>
      <c r="K1252" s="7"/>
      <c r="M1252" s="8"/>
      <c r="N1252" s="8"/>
      <c r="P1252" s="8"/>
      <c r="Q1252" s="5"/>
      <c r="R1252" s="26"/>
      <c r="S1252" s="27"/>
    </row>
    <row r="1253" spans="1:19" x14ac:dyDescent="0.3">
      <c r="A1253">
        <v>200010076</v>
      </c>
      <c r="C1253" s="22"/>
      <c r="G1253" s="7"/>
      <c r="K1253" s="7"/>
      <c r="M1253" s="8"/>
      <c r="N1253" s="8"/>
      <c r="P1253" s="8"/>
      <c r="Q1253" s="5"/>
      <c r="R1253" s="26"/>
      <c r="S1253" s="27"/>
    </row>
    <row r="1254" spans="1:19" x14ac:dyDescent="0.3">
      <c r="A1254">
        <v>200010076</v>
      </c>
      <c r="C1254" s="22"/>
      <c r="G1254" s="7"/>
      <c r="K1254" s="7"/>
      <c r="M1254" s="8"/>
      <c r="N1254" s="8"/>
      <c r="P1254" s="8"/>
      <c r="Q1254" s="5"/>
      <c r="R1254" s="26"/>
      <c r="S1254" s="27"/>
    </row>
    <row r="1255" spans="1:19" x14ac:dyDescent="0.3">
      <c r="A1255">
        <v>200010076</v>
      </c>
      <c r="C1255" s="22"/>
      <c r="G1255" s="7"/>
      <c r="K1255" s="7"/>
      <c r="M1255" s="8"/>
      <c r="N1255" s="8"/>
      <c r="P1255" s="8"/>
      <c r="Q1255" s="5"/>
      <c r="R1255" s="26"/>
      <c r="S1255" s="27"/>
    </row>
    <row r="1256" spans="1:19" x14ac:dyDescent="0.3">
      <c r="A1256">
        <v>200010076</v>
      </c>
      <c r="C1256" s="22"/>
      <c r="G1256" s="7"/>
      <c r="K1256" s="7"/>
      <c r="M1256" s="8"/>
      <c r="N1256" s="8"/>
      <c r="P1256" s="8"/>
      <c r="Q1256" s="5"/>
      <c r="R1256" s="26"/>
      <c r="S1256" s="27"/>
    </row>
    <row r="1257" spans="1:19" x14ac:dyDescent="0.3">
      <c r="A1257">
        <v>200010076</v>
      </c>
      <c r="C1257" s="22"/>
      <c r="G1257" s="7"/>
      <c r="K1257" s="7"/>
      <c r="M1257" s="8"/>
      <c r="N1257" s="8"/>
      <c r="P1257" s="8"/>
      <c r="Q1257" s="5"/>
      <c r="R1257" s="26"/>
      <c r="S1257" s="27"/>
    </row>
    <row r="1258" spans="1:19" x14ac:dyDescent="0.3">
      <c r="A1258">
        <v>200010076</v>
      </c>
      <c r="C1258" s="22"/>
      <c r="G1258" s="7"/>
      <c r="K1258" s="7"/>
      <c r="M1258" s="8"/>
      <c r="N1258" s="8"/>
      <c r="P1258" s="8"/>
      <c r="Q1258" s="5"/>
      <c r="R1258" s="26"/>
      <c r="S1258" s="27"/>
    </row>
    <row r="1259" spans="1:19" x14ac:dyDescent="0.3">
      <c r="A1259">
        <v>200010076</v>
      </c>
      <c r="C1259" s="22"/>
      <c r="G1259" s="7"/>
      <c r="K1259" s="7"/>
      <c r="M1259" s="8"/>
      <c r="N1259" s="8"/>
      <c r="P1259" s="8"/>
      <c r="Q1259" s="5"/>
      <c r="R1259" s="26"/>
      <c r="S1259" s="27"/>
    </row>
    <row r="1260" spans="1:19" x14ac:dyDescent="0.3">
      <c r="A1260">
        <v>200010076</v>
      </c>
      <c r="C1260" s="22"/>
      <c r="G1260" s="7"/>
      <c r="K1260" s="7"/>
      <c r="M1260" s="8"/>
      <c r="N1260" s="8"/>
      <c r="P1260" s="8"/>
      <c r="Q1260" s="5"/>
      <c r="R1260" s="26"/>
      <c r="S1260" s="27"/>
    </row>
    <row r="1261" spans="1:19" x14ac:dyDescent="0.3">
      <c r="A1261">
        <v>200010076</v>
      </c>
      <c r="C1261" s="22"/>
      <c r="G1261" s="7"/>
      <c r="K1261" s="7"/>
      <c r="M1261" s="8"/>
      <c r="N1261" s="8"/>
      <c r="P1261" s="8"/>
      <c r="Q1261" s="5"/>
      <c r="R1261" s="26"/>
      <c r="S1261" s="27"/>
    </row>
    <row r="1262" spans="1:19" x14ac:dyDescent="0.3">
      <c r="A1262">
        <v>200010076</v>
      </c>
      <c r="C1262" s="22"/>
      <c r="G1262" s="7"/>
      <c r="K1262" s="7"/>
      <c r="M1262" s="8"/>
      <c r="N1262" s="8"/>
      <c r="P1262" s="8"/>
      <c r="Q1262" s="5"/>
      <c r="R1262" s="26"/>
      <c r="S1262" s="27"/>
    </row>
    <row r="1263" spans="1:19" x14ac:dyDescent="0.3">
      <c r="A1263">
        <v>200010076</v>
      </c>
      <c r="C1263" s="22"/>
      <c r="G1263" s="7"/>
      <c r="K1263" s="7"/>
      <c r="M1263" s="8"/>
      <c r="N1263" s="8"/>
      <c r="P1263" s="8"/>
      <c r="Q1263" s="5"/>
      <c r="R1263" s="26"/>
      <c r="S1263" s="27"/>
    </row>
    <row r="1264" spans="1:19" x14ac:dyDescent="0.3">
      <c r="A1264">
        <v>200010076</v>
      </c>
      <c r="C1264" s="22"/>
      <c r="G1264" s="7"/>
      <c r="K1264" s="7"/>
      <c r="M1264" s="8"/>
      <c r="N1264" s="8"/>
      <c r="P1264" s="8"/>
      <c r="Q1264" s="5"/>
      <c r="R1264" s="26"/>
      <c r="S1264" s="27"/>
    </row>
    <row r="1265" spans="1:19" x14ac:dyDescent="0.3">
      <c r="A1265">
        <v>200010076</v>
      </c>
      <c r="C1265" s="22"/>
      <c r="G1265" s="7"/>
      <c r="K1265" s="7"/>
      <c r="M1265" s="8"/>
      <c r="N1265" s="8"/>
      <c r="P1265" s="8"/>
      <c r="Q1265" s="5"/>
      <c r="R1265" s="26"/>
      <c r="S1265" s="27"/>
    </row>
    <row r="1266" spans="1:19" x14ac:dyDescent="0.3">
      <c r="A1266">
        <v>200010076</v>
      </c>
      <c r="C1266" s="22"/>
      <c r="G1266" s="7"/>
      <c r="K1266" s="7"/>
      <c r="M1266" s="8"/>
      <c r="N1266" s="8"/>
      <c r="P1266" s="8"/>
      <c r="Q1266" s="5"/>
      <c r="R1266" s="26"/>
      <c r="S1266" s="27"/>
    </row>
    <row r="1267" spans="1:19" x14ac:dyDescent="0.3">
      <c r="A1267">
        <v>200010076</v>
      </c>
      <c r="C1267" s="22"/>
      <c r="G1267" s="7"/>
      <c r="K1267" s="7"/>
      <c r="M1267" s="8"/>
      <c r="N1267" s="8"/>
      <c r="P1267" s="8"/>
      <c r="Q1267" s="5"/>
      <c r="R1267" s="26"/>
      <c r="S1267" s="27"/>
    </row>
    <row r="1268" spans="1:19" x14ac:dyDescent="0.3">
      <c r="A1268">
        <v>200010076</v>
      </c>
      <c r="C1268" s="22"/>
      <c r="G1268" s="7"/>
      <c r="K1268" s="7"/>
      <c r="M1268" s="8"/>
      <c r="N1268" s="8"/>
      <c r="P1268" s="8"/>
      <c r="Q1268" s="5"/>
      <c r="R1268" s="26"/>
      <c r="S1268" s="27"/>
    </row>
    <row r="1269" spans="1:19" x14ac:dyDescent="0.3">
      <c r="A1269">
        <v>200010076</v>
      </c>
      <c r="C1269" s="22"/>
      <c r="G1269" s="7"/>
      <c r="K1269" s="7"/>
      <c r="M1269" s="8"/>
      <c r="N1269" s="8"/>
      <c r="P1269" s="8"/>
      <c r="Q1269" s="5"/>
      <c r="R1269" s="26"/>
      <c r="S1269" s="27"/>
    </row>
    <row r="1270" spans="1:19" x14ac:dyDescent="0.3">
      <c r="A1270">
        <v>200010076</v>
      </c>
      <c r="C1270" s="22"/>
      <c r="G1270" s="7"/>
      <c r="K1270" s="7"/>
      <c r="M1270" s="8"/>
      <c r="N1270" s="8"/>
      <c r="P1270" s="8"/>
      <c r="Q1270" s="5"/>
      <c r="R1270" s="26"/>
      <c r="S1270" s="27"/>
    </row>
    <row r="1271" spans="1:19" x14ac:dyDescent="0.3">
      <c r="A1271">
        <v>200010076</v>
      </c>
      <c r="C1271" s="22"/>
      <c r="G1271" s="7"/>
      <c r="K1271" s="7"/>
      <c r="M1271" s="8"/>
      <c r="N1271" s="8"/>
      <c r="P1271" s="8"/>
      <c r="Q1271" s="5"/>
      <c r="R1271" s="26"/>
      <c r="S1271" s="27"/>
    </row>
    <row r="1272" spans="1:19" x14ac:dyDescent="0.3">
      <c r="A1272">
        <v>200010076</v>
      </c>
      <c r="C1272" s="22"/>
      <c r="G1272" s="7"/>
      <c r="K1272" s="7"/>
      <c r="M1272" s="8"/>
      <c r="N1272" s="8"/>
      <c r="P1272" s="8"/>
      <c r="Q1272" s="5"/>
      <c r="R1272" s="26"/>
      <c r="S1272" s="27"/>
    </row>
    <row r="1273" spans="1:19" x14ac:dyDescent="0.3">
      <c r="A1273">
        <v>200010076</v>
      </c>
      <c r="C1273" s="22"/>
      <c r="G1273" s="7"/>
      <c r="K1273" s="7"/>
      <c r="M1273" s="8"/>
      <c r="N1273" s="8"/>
      <c r="P1273" s="8"/>
      <c r="Q1273" s="5"/>
      <c r="R1273" s="26"/>
      <c r="S1273" s="27"/>
    </row>
    <row r="1274" spans="1:19" x14ac:dyDescent="0.3">
      <c r="A1274">
        <v>200010076</v>
      </c>
      <c r="C1274" s="22"/>
      <c r="G1274" s="7"/>
      <c r="K1274" s="7"/>
      <c r="M1274" s="8"/>
      <c r="N1274" s="8"/>
      <c r="P1274" s="8"/>
      <c r="Q1274" s="5"/>
      <c r="R1274" s="26"/>
      <c r="S1274" s="27"/>
    </row>
    <row r="1275" spans="1:19" x14ac:dyDescent="0.3">
      <c r="A1275">
        <v>200010076</v>
      </c>
      <c r="C1275" s="22"/>
      <c r="G1275" s="7"/>
      <c r="K1275" s="7"/>
      <c r="M1275" s="8"/>
      <c r="N1275" s="8"/>
      <c r="P1275" s="8"/>
      <c r="Q1275" s="5"/>
      <c r="R1275" s="26"/>
      <c r="S1275" s="27"/>
    </row>
    <row r="1276" spans="1:19" x14ac:dyDescent="0.3">
      <c r="A1276">
        <v>200010076</v>
      </c>
      <c r="C1276" s="22"/>
      <c r="G1276" s="7"/>
      <c r="K1276" s="7"/>
      <c r="M1276" s="8"/>
      <c r="N1276" s="8"/>
      <c r="P1276" s="8"/>
      <c r="Q1276" s="5"/>
      <c r="R1276" s="26"/>
      <c r="S1276" s="27"/>
    </row>
    <row r="1277" spans="1:19" x14ac:dyDescent="0.3">
      <c r="A1277">
        <v>200010076</v>
      </c>
      <c r="C1277" s="22"/>
      <c r="G1277" s="7"/>
      <c r="K1277" s="7"/>
      <c r="M1277" s="8"/>
      <c r="N1277" s="8"/>
      <c r="P1277" s="8"/>
      <c r="Q1277" s="5"/>
      <c r="R1277" s="26"/>
      <c r="S1277" s="27"/>
    </row>
    <row r="1278" spans="1:19" x14ac:dyDescent="0.3">
      <c r="A1278">
        <v>200010076</v>
      </c>
      <c r="C1278" s="22"/>
      <c r="G1278" s="7"/>
      <c r="K1278" s="7"/>
      <c r="M1278" s="8"/>
      <c r="N1278" s="8"/>
      <c r="P1278" s="8"/>
      <c r="Q1278" s="5"/>
      <c r="R1278" s="26"/>
      <c r="S1278" s="27"/>
    </row>
    <row r="1279" spans="1:19" x14ac:dyDescent="0.3">
      <c r="A1279">
        <v>200010076</v>
      </c>
      <c r="C1279" s="22"/>
      <c r="G1279" s="7"/>
      <c r="K1279" s="7"/>
      <c r="M1279" s="8"/>
      <c r="N1279" s="8"/>
      <c r="P1279" s="8"/>
      <c r="Q1279" s="5"/>
      <c r="R1279" s="26"/>
      <c r="S1279" s="27"/>
    </row>
    <row r="1280" spans="1:19" x14ac:dyDescent="0.3">
      <c r="A1280">
        <v>200010076</v>
      </c>
      <c r="C1280" s="22"/>
      <c r="G1280" s="7"/>
      <c r="K1280" s="7"/>
      <c r="M1280" s="8"/>
      <c r="N1280" s="8"/>
      <c r="P1280" s="8"/>
      <c r="Q1280" s="5"/>
      <c r="R1280" s="26"/>
      <c r="S1280" s="27"/>
    </row>
    <row r="1281" spans="1:19" x14ac:dyDescent="0.3">
      <c r="A1281">
        <v>200010076</v>
      </c>
      <c r="C1281" s="22"/>
      <c r="G1281" s="7"/>
      <c r="K1281" s="7"/>
      <c r="M1281" s="8"/>
      <c r="N1281" s="8"/>
      <c r="P1281" s="8"/>
      <c r="Q1281" s="5"/>
      <c r="R1281" s="26"/>
      <c r="S1281" s="27"/>
    </row>
    <row r="1282" spans="1:19" x14ac:dyDescent="0.3">
      <c r="A1282">
        <v>200010076</v>
      </c>
      <c r="C1282" s="22"/>
      <c r="G1282" s="7"/>
      <c r="K1282" s="7"/>
      <c r="M1282" s="8"/>
      <c r="N1282" s="8"/>
      <c r="P1282" s="8"/>
      <c r="Q1282" s="5"/>
      <c r="R1282" s="26"/>
      <c r="S1282" s="27"/>
    </row>
    <row r="1283" spans="1:19" x14ac:dyDescent="0.3">
      <c r="A1283">
        <v>200010076</v>
      </c>
      <c r="C1283" s="22"/>
      <c r="G1283" s="7"/>
      <c r="K1283" s="7"/>
      <c r="M1283" s="8"/>
      <c r="N1283" s="8"/>
      <c r="P1283" s="8"/>
      <c r="Q1283" s="5"/>
      <c r="R1283" s="26"/>
      <c r="S1283" s="27"/>
    </row>
    <row r="1284" spans="1:19" x14ac:dyDescent="0.3">
      <c r="A1284">
        <v>200010076</v>
      </c>
      <c r="C1284" s="22"/>
      <c r="G1284" s="7"/>
      <c r="K1284" s="7"/>
      <c r="M1284" s="8"/>
      <c r="N1284" s="8"/>
      <c r="P1284" s="8"/>
      <c r="Q1284" s="5"/>
      <c r="R1284" s="26"/>
      <c r="S1284" s="27"/>
    </row>
    <row r="1285" spans="1:19" x14ac:dyDescent="0.3">
      <c r="A1285">
        <v>200010076</v>
      </c>
      <c r="C1285" s="22"/>
      <c r="G1285" s="7"/>
      <c r="K1285" s="7"/>
      <c r="M1285" s="8"/>
      <c r="N1285" s="8"/>
      <c r="P1285" s="8"/>
      <c r="Q1285" s="5"/>
      <c r="R1285" s="26"/>
      <c r="S1285" s="27"/>
    </row>
    <row r="1286" spans="1:19" x14ac:dyDescent="0.3">
      <c r="A1286">
        <v>200010076</v>
      </c>
      <c r="C1286" s="22"/>
      <c r="G1286" s="7"/>
      <c r="K1286" s="7"/>
      <c r="M1286" s="8"/>
      <c r="N1286" s="8"/>
      <c r="P1286" s="8"/>
      <c r="Q1286" s="5"/>
      <c r="R1286" s="26"/>
      <c r="S1286" s="27"/>
    </row>
    <row r="1287" spans="1:19" x14ac:dyDescent="0.3">
      <c r="A1287">
        <v>200010076</v>
      </c>
      <c r="C1287" s="22"/>
      <c r="G1287" s="7"/>
      <c r="K1287" s="7"/>
      <c r="M1287" s="8"/>
      <c r="N1287" s="8"/>
      <c r="P1287" s="8"/>
      <c r="Q1287" s="5"/>
      <c r="R1287" s="26"/>
      <c r="S1287" s="27"/>
    </row>
    <row r="1288" spans="1:19" x14ac:dyDescent="0.3">
      <c r="A1288">
        <v>200010076</v>
      </c>
      <c r="C1288" s="22"/>
      <c r="G1288" s="7"/>
      <c r="K1288" s="7"/>
      <c r="M1288" s="8"/>
      <c r="N1288" s="8"/>
      <c r="P1288" s="8"/>
      <c r="Q1288" s="5"/>
      <c r="R1288" s="26"/>
      <c r="S1288" s="27"/>
    </row>
    <row r="1289" spans="1:19" x14ac:dyDescent="0.3">
      <c r="A1289">
        <v>200010076</v>
      </c>
      <c r="C1289" s="22"/>
      <c r="G1289" s="7"/>
      <c r="K1289" s="7"/>
      <c r="M1289" s="8"/>
      <c r="N1289" s="8"/>
      <c r="P1289" s="8"/>
      <c r="Q1289" s="5"/>
      <c r="R1289" s="26"/>
      <c r="S1289" s="27"/>
    </row>
    <row r="1290" spans="1:19" x14ac:dyDescent="0.3">
      <c r="A1290">
        <v>200010076</v>
      </c>
      <c r="C1290" s="22"/>
      <c r="G1290" s="7"/>
      <c r="K1290" s="7"/>
      <c r="M1290" s="8"/>
      <c r="N1290" s="8"/>
      <c r="P1290" s="8"/>
      <c r="Q1290" s="5"/>
      <c r="R1290" s="26"/>
      <c r="S1290" s="27"/>
    </row>
    <row r="1291" spans="1:19" x14ac:dyDescent="0.3">
      <c r="A1291">
        <v>200010076</v>
      </c>
      <c r="C1291" s="22"/>
      <c r="G1291" s="7"/>
      <c r="K1291" s="7"/>
      <c r="M1291" s="8"/>
      <c r="N1291" s="8"/>
      <c r="P1291" s="8"/>
      <c r="Q1291" s="5"/>
      <c r="R1291" s="26"/>
      <c r="S1291" s="27"/>
    </row>
    <row r="1292" spans="1:19" x14ac:dyDescent="0.3">
      <c r="A1292">
        <v>200010076</v>
      </c>
      <c r="C1292" s="22"/>
      <c r="G1292" s="7"/>
      <c r="K1292" s="7"/>
      <c r="M1292" s="8"/>
      <c r="N1292" s="8"/>
      <c r="P1292" s="8"/>
      <c r="Q1292" s="5"/>
      <c r="R1292" s="26"/>
      <c r="S1292" s="27"/>
    </row>
    <row r="1293" spans="1:19" x14ac:dyDescent="0.3">
      <c r="A1293">
        <v>200010076</v>
      </c>
      <c r="C1293" s="22"/>
      <c r="G1293" s="7"/>
      <c r="K1293" s="7"/>
      <c r="M1293" s="8"/>
      <c r="N1293" s="8"/>
      <c r="P1293" s="8"/>
      <c r="Q1293" s="5"/>
      <c r="R1293" s="26"/>
      <c r="S1293" s="27"/>
    </row>
    <row r="1294" spans="1:19" x14ac:dyDescent="0.3">
      <c r="A1294">
        <v>200010076</v>
      </c>
      <c r="C1294" s="22"/>
      <c r="G1294" s="7"/>
      <c r="K1294" s="7"/>
      <c r="M1294" s="8"/>
      <c r="N1294" s="8"/>
      <c r="P1294" s="8"/>
      <c r="Q1294" s="5"/>
      <c r="R1294" s="26"/>
      <c r="S1294" s="27"/>
    </row>
    <row r="1295" spans="1:19" x14ac:dyDescent="0.3">
      <c r="A1295">
        <v>200010076</v>
      </c>
      <c r="C1295" s="22"/>
      <c r="G1295" s="7"/>
      <c r="K1295" s="7"/>
      <c r="M1295" s="8"/>
      <c r="N1295" s="8"/>
      <c r="P1295" s="8"/>
      <c r="Q1295" s="5"/>
      <c r="R1295" s="26"/>
      <c r="S1295" s="27"/>
    </row>
    <row r="1296" spans="1:19" x14ac:dyDescent="0.3">
      <c r="A1296">
        <v>200010076</v>
      </c>
      <c r="C1296" s="22"/>
      <c r="G1296" s="7"/>
      <c r="K1296" s="7"/>
      <c r="M1296" s="8"/>
      <c r="N1296" s="8"/>
      <c r="P1296" s="8"/>
      <c r="Q1296" s="5"/>
      <c r="R1296" s="26"/>
      <c r="S1296" s="27"/>
    </row>
    <row r="1297" spans="1:19" x14ac:dyDescent="0.3">
      <c r="A1297">
        <v>200010076</v>
      </c>
      <c r="C1297" s="22"/>
      <c r="G1297" s="7"/>
      <c r="K1297" s="7"/>
      <c r="M1297" s="8"/>
      <c r="N1297" s="8"/>
      <c r="P1297" s="8"/>
      <c r="Q1297" s="5"/>
      <c r="R1297" s="26"/>
      <c r="S1297" s="27"/>
    </row>
    <row r="1298" spans="1:19" x14ac:dyDescent="0.3">
      <c r="A1298">
        <v>200010076</v>
      </c>
      <c r="C1298" s="22"/>
      <c r="G1298" s="7"/>
      <c r="K1298" s="7"/>
      <c r="M1298" s="8"/>
      <c r="N1298" s="8"/>
      <c r="P1298" s="8"/>
      <c r="Q1298" s="5"/>
      <c r="R1298" s="26"/>
      <c r="S1298" s="27"/>
    </row>
    <row r="1299" spans="1:19" x14ac:dyDescent="0.3">
      <c r="A1299">
        <v>200010076</v>
      </c>
      <c r="C1299" s="22"/>
      <c r="G1299" s="7"/>
      <c r="K1299" s="7"/>
      <c r="M1299" s="8"/>
      <c r="N1299" s="8"/>
      <c r="P1299" s="8"/>
      <c r="Q1299" s="5"/>
      <c r="R1299" s="26"/>
      <c r="S1299" s="27"/>
    </row>
    <row r="1300" spans="1:19" x14ac:dyDescent="0.3">
      <c r="A1300">
        <v>200010076</v>
      </c>
      <c r="C1300" s="22"/>
      <c r="G1300" s="7"/>
      <c r="K1300" s="7"/>
      <c r="M1300" s="8"/>
      <c r="N1300" s="8"/>
      <c r="P1300" s="8"/>
      <c r="Q1300" s="5"/>
      <c r="R1300" s="26"/>
      <c r="S1300" s="27"/>
    </row>
    <row r="1301" spans="1:19" x14ac:dyDescent="0.3">
      <c r="A1301">
        <v>200010076</v>
      </c>
      <c r="C1301" s="22"/>
      <c r="G1301" s="7"/>
      <c r="K1301" s="7"/>
      <c r="M1301" s="8"/>
      <c r="N1301" s="8"/>
      <c r="P1301" s="8"/>
      <c r="Q1301" s="5"/>
      <c r="R1301" s="26"/>
      <c r="S1301" s="27"/>
    </row>
    <row r="1302" spans="1:19" x14ac:dyDescent="0.3">
      <c r="A1302">
        <v>200010076</v>
      </c>
      <c r="C1302" s="22"/>
      <c r="G1302" s="7"/>
      <c r="K1302" s="7"/>
      <c r="M1302" s="8"/>
      <c r="N1302" s="8"/>
      <c r="P1302" s="8"/>
      <c r="Q1302" s="5"/>
      <c r="R1302" s="26"/>
      <c r="S1302" s="27"/>
    </row>
    <row r="1303" spans="1:19" x14ac:dyDescent="0.3">
      <c r="A1303">
        <v>200010076</v>
      </c>
      <c r="C1303" s="22"/>
      <c r="G1303" s="7"/>
      <c r="K1303" s="7"/>
      <c r="M1303" s="8"/>
      <c r="N1303" s="8"/>
      <c r="P1303" s="8"/>
      <c r="Q1303" s="5"/>
      <c r="R1303" s="26"/>
      <c r="S1303" s="27"/>
    </row>
    <row r="1304" spans="1:19" x14ac:dyDescent="0.3">
      <c r="A1304">
        <v>200010076</v>
      </c>
      <c r="C1304" s="22"/>
      <c r="G1304" s="7"/>
      <c r="K1304" s="7"/>
      <c r="M1304" s="8"/>
      <c r="N1304" s="8"/>
      <c r="P1304" s="8"/>
      <c r="Q1304" s="5"/>
      <c r="R1304" s="26"/>
      <c r="S1304" s="27"/>
    </row>
    <row r="1305" spans="1:19" x14ac:dyDescent="0.3">
      <c r="A1305">
        <v>200010076</v>
      </c>
      <c r="C1305" s="22"/>
      <c r="G1305" s="7"/>
      <c r="K1305" s="7"/>
      <c r="M1305" s="8"/>
      <c r="N1305" s="8"/>
      <c r="P1305" s="8"/>
      <c r="Q1305" s="5"/>
      <c r="R1305" s="26"/>
      <c r="S1305" s="27"/>
    </row>
    <row r="1306" spans="1:19" x14ac:dyDescent="0.3">
      <c r="A1306">
        <v>200010076</v>
      </c>
      <c r="C1306" s="22"/>
      <c r="G1306" s="7"/>
      <c r="K1306" s="7"/>
      <c r="M1306" s="8"/>
      <c r="N1306" s="8"/>
      <c r="P1306" s="8"/>
      <c r="Q1306" s="5"/>
      <c r="R1306" s="26"/>
      <c r="S1306" s="27"/>
    </row>
    <row r="1307" spans="1:19" x14ac:dyDescent="0.3">
      <c r="A1307">
        <v>200010076</v>
      </c>
      <c r="C1307" s="22"/>
      <c r="G1307" s="7"/>
      <c r="K1307" s="7"/>
      <c r="M1307" s="8"/>
      <c r="N1307" s="8"/>
      <c r="P1307" s="8"/>
      <c r="Q1307" s="5"/>
      <c r="R1307" s="26"/>
      <c r="S1307" s="27"/>
    </row>
    <row r="1308" spans="1:19" x14ac:dyDescent="0.3">
      <c r="A1308">
        <v>200010076</v>
      </c>
      <c r="C1308" s="22"/>
      <c r="G1308" s="7"/>
      <c r="K1308" s="7"/>
      <c r="M1308" s="8"/>
      <c r="N1308" s="8"/>
      <c r="P1308" s="8"/>
      <c r="Q1308" s="5"/>
      <c r="R1308" s="26"/>
      <c r="S1308" s="27"/>
    </row>
    <row r="1309" spans="1:19" x14ac:dyDescent="0.3">
      <c r="A1309">
        <v>200010076</v>
      </c>
      <c r="C1309" s="22"/>
      <c r="G1309" s="7"/>
      <c r="K1309" s="7"/>
      <c r="M1309" s="8"/>
      <c r="N1309" s="8"/>
      <c r="P1309" s="8"/>
      <c r="Q1309" s="5"/>
      <c r="R1309" s="26"/>
      <c r="S1309" s="27"/>
    </row>
    <row r="1310" spans="1:19" x14ac:dyDescent="0.3">
      <c r="A1310">
        <v>200010076</v>
      </c>
      <c r="C1310" s="22"/>
      <c r="G1310" s="7"/>
      <c r="K1310" s="7"/>
      <c r="M1310" s="8"/>
      <c r="N1310" s="8"/>
      <c r="P1310" s="8"/>
      <c r="Q1310" s="5"/>
      <c r="R1310" s="26"/>
      <c r="S1310" s="27"/>
    </row>
    <row r="1311" spans="1:19" x14ac:dyDescent="0.3">
      <c r="A1311">
        <v>200010076</v>
      </c>
      <c r="C1311" s="22"/>
      <c r="G1311" s="7"/>
      <c r="K1311" s="7"/>
      <c r="M1311" s="8"/>
      <c r="N1311" s="8"/>
      <c r="P1311" s="8"/>
      <c r="Q1311" s="5"/>
      <c r="R1311" s="26"/>
      <c r="S1311" s="27"/>
    </row>
    <row r="1312" spans="1:19" x14ac:dyDescent="0.3">
      <c r="A1312">
        <v>200010076</v>
      </c>
      <c r="C1312" s="22"/>
      <c r="G1312" s="7"/>
      <c r="K1312" s="7"/>
      <c r="M1312" s="8"/>
      <c r="N1312" s="8"/>
      <c r="P1312" s="8"/>
      <c r="Q1312" s="5"/>
      <c r="R1312" s="26"/>
      <c r="S1312" s="27"/>
    </row>
    <row r="1313" spans="1:19" x14ac:dyDescent="0.3">
      <c r="A1313">
        <v>200010076</v>
      </c>
      <c r="C1313" s="22"/>
      <c r="G1313" s="7"/>
      <c r="K1313" s="7"/>
      <c r="M1313" s="8"/>
      <c r="N1313" s="8"/>
      <c r="P1313" s="8"/>
      <c r="Q1313" s="5"/>
      <c r="R1313" s="26"/>
      <c r="S1313" s="27"/>
    </row>
    <row r="1314" spans="1:19" x14ac:dyDescent="0.3">
      <c r="A1314">
        <v>200010076</v>
      </c>
      <c r="C1314" s="22"/>
      <c r="G1314" s="7"/>
      <c r="K1314" s="7"/>
      <c r="M1314" s="8"/>
      <c r="N1314" s="8"/>
      <c r="P1314" s="8"/>
      <c r="Q1314" s="5"/>
      <c r="R1314" s="26"/>
      <c r="S1314" s="27"/>
    </row>
    <row r="1315" spans="1:19" x14ac:dyDescent="0.3">
      <c r="A1315">
        <v>200010076</v>
      </c>
      <c r="C1315" s="22"/>
      <c r="G1315" s="7"/>
      <c r="K1315" s="7"/>
      <c r="M1315" s="8"/>
      <c r="N1315" s="8"/>
      <c r="P1315" s="8"/>
      <c r="Q1315" s="5"/>
      <c r="R1315" s="26"/>
      <c r="S1315" s="27"/>
    </row>
    <row r="1316" spans="1:19" x14ac:dyDescent="0.3">
      <c r="A1316">
        <v>200010076</v>
      </c>
      <c r="C1316" s="22"/>
      <c r="G1316" s="7"/>
      <c r="K1316" s="7"/>
      <c r="M1316" s="8"/>
      <c r="N1316" s="8"/>
      <c r="P1316" s="8"/>
      <c r="Q1316" s="5"/>
      <c r="R1316" s="26"/>
      <c r="S1316" s="27"/>
    </row>
    <row r="1317" spans="1:19" x14ac:dyDescent="0.3">
      <c r="A1317">
        <v>200010076</v>
      </c>
      <c r="C1317" s="22"/>
      <c r="G1317" s="7"/>
      <c r="K1317" s="7"/>
      <c r="M1317" s="8"/>
      <c r="N1317" s="8"/>
      <c r="P1317" s="8"/>
      <c r="Q1317" s="5"/>
      <c r="R1317" s="26"/>
      <c r="S1317" s="27"/>
    </row>
    <row r="1318" spans="1:19" x14ac:dyDescent="0.3">
      <c r="A1318">
        <v>200010076</v>
      </c>
      <c r="C1318" s="22"/>
      <c r="G1318" s="7"/>
      <c r="K1318" s="7"/>
      <c r="M1318" s="8"/>
      <c r="N1318" s="8"/>
      <c r="P1318" s="8"/>
      <c r="Q1318" s="5"/>
      <c r="R1318" s="26"/>
      <c r="S1318" s="27"/>
    </row>
    <row r="1319" spans="1:19" x14ac:dyDescent="0.3">
      <c r="A1319">
        <v>200010076</v>
      </c>
      <c r="C1319" s="22"/>
      <c r="G1319" s="7"/>
      <c r="K1319" s="7"/>
      <c r="M1319" s="8"/>
      <c r="N1319" s="8"/>
      <c r="P1319" s="8"/>
      <c r="Q1319" s="5"/>
      <c r="R1319" s="26"/>
      <c r="S1319" s="27"/>
    </row>
    <row r="1320" spans="1:19" x14ac:dyDescent="0.3">
      <c r="A1320">
        <v>200010076</v>
      </c>
      <c r="C1320" s="22"/>
      <c r="G1320" s="7"/>
      <c r="K1320" s="7"/>
      <c r="M1320" s="8"/>
      <c r="N1320" s="8"/>
      <c r="P1320" s="8"/>
      <c r="Q1320" s="5"/>
      <c r="R1320" s="26"/>
      <c r="S1320" s="27"/>
    </row>
    <row r="1321" spans="1:19" x14ac:dyDescent="0.3">
      <c r="A1321">
        <v>200010076</v>
      </c>
      <c r="C1321" s="22"/>
      <c r="G1321" s="7"/>
      <c r="K1321" s="7"/>
      <c r="M1321" s="8"/>
      <c r="N1321" s="8"/>
      <c r="P1321" s="8"/>
      <c r="Q1321" s="5"/>
      <c r="R1321" s="26"/>
      <c r="S1321" s="27"/>
    </row>
    <row r="1322" spans="1:19" x14ac:dyDescent="0.3">
      <c r="A1322">
        <v>200010076</v>
      </c>
      <c r="C1322" s="22"/>
      <c r="G1322" s="7"/>
      <c r="K1322" s="7"/>
      <c r="M1322" s="8"/>
      <c r="N1322" s="8"/>
      <c r="P1322" s="8"/>
      <c r="Q1322" s="5"/>
      <c r="R1322" s="26"/>
      <c r="S1322" s="27"/>
    </row>
    <row r="1323" spans="1:19" x14ac:dyDescent="0.3">
      <c r="A1323">
        <v>200010076</v>
      </c>
      <c r="C1323" s="22"/>
      <c r="G1323" s="7"/>
      <c r="K1323" s="7"/>
      <c r="M1323" s="8"/>
      <c r="N1323" s="8"/>
      <c r="P1323" s="8"/>
      <c r="Q1323" s="5"/>
      <c r="R1323" s="26"/>
      <c r="S1323" s="27"/>
    </row>
    <row r="1324" spans="1:19" x14ac:dyDescent="0.3">
      <c r="A1324">
        <v>200010076</v>
      </c>
      <c r="C1324" s="22"/>
      <c r="G1324" s="7"/>
      <c r="K1324" s="7"/>
      <c r="M1324" s="8"/>
      <c r="N1324" s="8"/>
      <c r="P1324" s="8"/>
      <c r="Q1324" s="5"/>
      <c r="R1324" s="26"/>
      <c r="S1324" s="27"/>
    </row>
    <row r="1325" spans="1:19" x14ac:dyDescent="0.3">
      <c r="A1325">
        <v>200010076</v>
      </c>
      <c r="C1325" s="22"/>
      <c r="G1325" s="7"/>
      <c r="K1325" s="7"/>
      <c r="M1325" s="8"/>
      <c r="N1325" s="8"/>
      <c r="P1325" s="8"/>
      <c r="Q1325" s="5"/>
      <c r="R1325" s="26"/>
      <c r="S1325" s="27"/>
    </row>
    <row r="1326" spans="1:19" x14ac:dyDescent="0.3">
      <c r="A1326">
        <v>200010076</v>
      </c>
      <c r="C1326" s="22"/>
      <c r="G1326" s="7"/>
      <c r="K1326" s="7"/>
      <c r="M1326" s="8"/>
      <c r="N1326" s="8"/>
      <c r="P1326" s="8"/>
      <c r="Q1326" s="5"/>
      <c r="R1326" s="26"/>
      <c r="S1326" s="27"/>
    </row>
    <row r="1327" spans="1:19" x14ac:dyDescent="0.3">
      <c r="A1327">
        <v>200010076</v>
      </c>
      <c r="C1327" s="22"/>
      <c r="G1327" s="7"/>
      <c r="K1327" s="7"/>
      <c r="M1327" s="8"/>
      <c r="N1327" s="8"/>
      <c r="P1327" s="8"/>
      <c r="Q1327" s="5"/>
      <c r="R1327" s="26"/>
      <c r="S1327" s="27"/>
    </row>
    <row r="1328" spans="1:19" x14ac:dyDescent="0.3">
      <c r="A1328">
        <v>200010076</v>
      </c>
      <c r="C1328" s="22"/>
      <c r="G1328" s="7"/>
      <c r="K1328" s="7"/>
      <c r="M1328" s="8"/>
      <c r="N1328" s="8"/>
      <c r="P1328" s="8"/>
      <c r="Q1328" s="5"/>
      <c r="R1328" s="26"/>
      <c r="S1328" s="27"/>
    </row>
    <row r="1329" spans="1:19" x14ac:dyDescent="0.3">
      <c r="A1329">
        <v>200010076</v>
      </c>
      <c r="C1329" s="22"/>
      <c r="G1329" s="7"/>
      <c r="K1329" s="7"/>
      <c r="M1329" s="8"/>
      <c r="N1329" s="8"/>
      <c r="P1329" s="8"/>
      <c r="Q1329" s="5"/>
      <c r="R1329" s="26"/>
      <c r="S1329" s="27"/>
    </row>
    <row r="1330" spans="1:19" x14ac:dyDescent="0.3">
      <c r="A1330">
        <v>200010076</v>
      </c>
      <c r="C1330" s="22"/>
      <c r="G1330" s="7"/>
      <c r="K1330" s="7"/>
      <c r="M1330" s="8"/>
      <c r="N1330" s="8"/>
      <c r="P1330" s="8"/>
      <c r="Q1330" s="5"/>
      <c r="R1330" s="26"/>
      <c r="S1330" s="27"/>
    </row>
    <row r="1331" spans="1:19" x14ac:dyDescent="0.3">
      <c r="A1331">
        <v>200010076</v>
      </c>
      <c r="C1331" s="22"/>
      <c r="G1331" s="7"/>
      <c r="K1331" s="7"/>
      <c r="M1331" s="8"/>
      <c r="N1331" s="8"/>
      <c r="P1331" s="8"/>
      <c r="Q1331" s="5"/>
      <c r="R1331" s="26"/>
      <c r="S1331" s="27"/>
    </row>
    <row r="1332" spans="1:19" x14ac:dyDescent="0.3">
      <c r="A1332">
        <v>200010076</v>
      </c>
      <c r="C1332" s="22"/>
      <c r="G1332" s="7"/>
      <c r="K1332" s="7"/>
      <c r="M1332" s="8"/>
      <c r="N1332" s="8"/>
      <c r="P1332" s="8"/>
      <c r="Q1332" s="5"/>
      <c r="R1332" s="26"/>
      <c r="S1332" s="27"/>
    </row>
    <row r="1333" spans="1:19" x14ac:dyDescent="0.3">
      <c r="A1333">
        <v>200010076</v>
      </c>
      <c r="C1333" s="22"/>
      <c r="G1333" s="7"/>
      <c r="K1333" s="7"/>
      <c r="M1333" s="8"/>
      <c r="N1333" s="8"/>
      <c r="P1333" s="8"/>
      <c r="Q1333" s="5"/>
      <c r="R1333" s="26"/>
      <c r="S1333" s="27"/>
    </row>
    <row r="1334" spans="1:19" x14ac:dyDescent="0.3">
      <c r="A1334">
        <v>200010076</v>
      </c>
      <c r="C1334" s="22"/>
      <c r="G1334" s="7"/>
      <c r="K1334" s="7"/>
      <c r="M1334" s="8"/>
      <c r="N1334" s="8"/>
      <c r="P1334" s="8"/>
      <c r="Q1334" s="5"/>
      <c r="R1334" s="26"/>
      <c r="S1334" s="27"/>
    </row>
    <row r="1335" spans="1:19" x14ac:dyDescent="0.3">
      <c r="A1335">
        <v>200010076</v>
      </c>
      <c r="C1335" s="22"/>
      <c r="G1335" s="7"/>
      <c r="K1335" s="7"/>
      <c r="M1335" s="8"/>
      <c r="N1335" s="8"/>
      <c r="P1335" s="8"/>
      <c r="Q1335" s="5"/>
      <c r="R1335" s="26"/>
      <c r="S1335" s="27"/>
    </row>
    <row r="1336" spans="1:19" x14ac:dyDescent="0.3">
      <c r="A1336">
        <v>200010076</v>
      </c>
      <c r="C1336" s="22"/>
      <c r="G1336" s="7"/>
      <c r="K1336" s="7"/>
      <c r="M1336" s="8"/>
      <c r="N1336" s="8"/>
      <c r="P1336" s="8"/>
      <c r="Q1336" s="5"/>
      <c r="R1336" s="26"/>
      <c r="S1336" s="27"/>
    </row>
    <row r="1337" spans="1:19" x14ac:dyDescent="0.3">
      <c r="A1337">
        <v>200010076</v>
      </c>
      <c r="C1337" s="22"/>
      <c r="G1337" s="7"/>
      <c r="K1337" s="7"/>
      <c r="M1337" s="8"/>
      <c r="N1337" s="8"/>
      <c r="P1337" s="8"/>
      <c r="Q1337" s="5"/>
      <c r="R1337" s="26"/>
      <c r="S1337" s="27"/>
    </row>
    <row r="1338" spans="1:19" x14ac:dyDescent="0.3">
      <c r="A1338">
        <v>200010076</v>
      </c>
      <c r="C1338" s="22"/>
      <c r="G1338" s="7"/>
      <c r="K1338" s="7"/>
      <c r="M1338" s="8"/>
      <c r="N1338" s="8"/>
      <c r="P1338" s="8"/>
      <c r="Q1338" s="5"/>
      <c r="R1338" s="26"/>
      <c r="S1338" s="27"/>
    </row>
    <row r="1339" spans="1:19" x14ac:dyDescent="0.3">
      <c r="A1339">
        <v>200010076</v>
      </c>
      <c r="C1339" s="22"/>
      <c r="G1339" s="7"/>
      <c r="K1339" s="7"/>
      <c r="M1339" s="8"/>
      <c r="N1339" s="8"/>
      <c r="P1339" s="8"/>
      <c r="Q1339" s="5"/>
      <c r="R1339" s="26"/>
      <c r="S1339" s="27"/>
    </row>
    <row r="1340" spans="1:19" x14ac:dyDescent="0.3">
      <c r="A1340">
        <v>200010076</v>
      </c>
      <c r="C1340" s="22"/>
      <c r="G1340" s="7"/>
      <c r="K1340" s="7"/>
      <c r="M1340" s="8"/>
      <c r="N1340" s="8"/>
      <c r="P1340" s="8"/>
      <c r="Q1340" s="5"/>
      <c r="R1340" s="26"/>
      <c r="S1340" s="27"/>
    </row>
    <row r="1341" spans="1:19" x14ac:dyDescent="0.3">
      <c r="A1341">
        <v>200010076</v>
      </c>
      <c r="C1341" s="22"/>
      <c r="G1341" s="7"/>
      <c r="K1341" s="7"/>
      <c r="M1341" s="8"/>
      <c r="N1341" s="8"/>
      <c r="P1341" s="8"/>
      <c r="Q1341" s="5"/>
      <c r="R1341" s="26"/>
      <c r="S1341" s="27"/>
    </row>
    <row r="1342" spans="1:19" x14ac:dyDescent="0.3">
      <c r="A1342">
        <v>200010076</v>
      </c>
      <c r="C1342" s="22"/>
      <c r="G1342" s="7"/>
      <c r="K1342" s="7"/>
      <c r="M1342" s="8"/>
      <c r="N1342" s="8"/>
      <c r="P1342" s="8"/>
      <c r="Q1342" s="5"/>
      <c r="R1342" s="26"/>
      <c r="S1342" s="27"/>
    </row>
    <row r="1343" spans="1:19" x14ac:dyDescent="0.3">
      <c r="A1343">
        <v>200010076</v>
      </c>
      <c r="C1343" s="22"/>
      <c r="G1343" s="7"/>
      <c r="K1343" s="7"/>
      <c r="M1343" s="8"/>
      <c r="N1343" s="8"/>
      <c r="P1343" s="8"/>
      <c r="Q1343" s="5"/>
      <c r="R1343" s="26"/>
      <c r="S1343" s="27"/>
    </row>
    <row r="1344" spans="1:19" x14ac:dyDescent="0.3">
      <c r="A1344">
        <v>200010076</v>
      </c>
      <c r="C1344" s="22"/>
      <c r="G1344" s="7"/>
      <c r="K1344" s="7"/>
      <c r="M1344" s="8"/>
      <c r="N1344" s="8"/>
      <c r="P1344" s="8"/>
      <c r="Q1344" s="5"/>
      <c r="R1344" s="26"/>
      <c r="S1344" s="27"/>
    </row>
    <row r="1345" spans="1:19" x14ac:dyDescent="0.3">
      <c r="A1345">
        <v>200010076</v>
      </c>
      <c r="C1345" s="22"/>
      <c r="G1345" s="7"/>
      <c r="K1345" s="7"/>
      <c r="M1345" s="8"/>
      <c r="N1345" s="8"/>
      <c r="P1345" s="8"/>
      <c r="Q1345" s="5"/>
      <c r="R1345" s="26"/>
      <c r="S1345" s="27"/>
    </row>
    <row r="1346" spans="1:19" x14ac:dyDescent="0.3">
      <c r="A1346">
        <v>200010076</v>
      </c>
      <c r="C1346" s="22"/>
      <c r="G1346" s="7"/>
      <c r="K1346" s="7"/>
      <c r="M1346" s="8"/>
      <c r="N1346" s="8"/>
      <c r="P1346" s="8"/>
      <c r="Q1346" s="5"/>
      <c r="R1346" s="26"/>
      <c r="S1346" s="27"/>
    </row>
    <row r="1347" spans="1:19" x14ac:dyDescent="0.3">
      <c r="A1347">
        <v>200010076</v>
      </c>
      <c r="C1347" s="22"/>
      <c r="G1347" s="7"/>
      <c r="K1347" s="7"/>
      <c r="M1347" s="8"/>
      <c r="N1347" s="8"/>
      <c r="P1347" s="8"/>
      <c r="Q1347" s="5"/>
      <c r="R1347" s="26"/>
      <c r="S1347" s="27"/>
    </row>
    <row r="1348" spans="1:19" x14ac:dyDescent="0.3">
      <c r="A1348">
        <v>200010076</v>
      </c>
      <c r="C1348" s="22"/>
      <c r="F1348" s="6"/>
      <c r="G1348" s="7"/>
      <c r="K1348" s="7"/>
      <c r="M1348" s="8"/>
      <c r="N1348" s="8"/>
      <c r="P1348" s="8"/>
      <c r="Q1348" s="5"/>
      <c r="R1348" s="28"/>
      <c r="S1348" s="27"/>
    </row>
    <row r="1349" spans="1:19" x14ac:dyDescent="0.3">
      <c r="A1349">
        <v>200010076</v>
      </c>
      <c r="C1349" s="22"/>
      <c r="F1349" s="6"/>
      <c r="G1349" s="7"/>
      <c r="K1349" s="7"/>
      <c r="M1349" s="8"/>
      <c r="P1349" s="8"/>
      <c r="Q1349" s="5"/>
      <c r="R1349" s="28"/>
      <c r="S1349" s="27"/>
    </row>
    <row r="1350" spans="1:19" x14ac:dyDescent="0.3">
      <c r="A1350">
        <v>200010076</v>
      </c>
      <c r="C1350" s="22"/>
      <c r="F1350" s="6"/>
      <c r="G1350" s="7"/>
      <c r="K1350" s="7"/>
      <c r="M1350" s="8"/>
      <c r="P1350" s="8"/>
      <c r="Q1350" s="5"/>
      <c r="R1350" s="28"/>
      <c r="S1350" s="27"/>
    </row>
    <row r="1351" spans="1:19" x14ac:dyDescent="0.3">
      <c r="A1351">
        <v>200010076</v>
      </c>
      <c r="C1351" s="22"/>
      <c r="F1351" s="6"/>
      <c r="G1351" s="7"/>
      <c r="K1351" s="7"/>
      <c r="M1351" s="8"/>
      <c r="P1351" s="8"/>
      <c r="Q1351" s="5"/>
      <c r="R1351" s="28"/>
      <c r="S1351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8D30-57C9-481D-A8C8-FB1B7153D68C}">
  <dimension ref="B4:H28"/>
  <sheetViews>
    <sheetView topLeftCell="A5" workbookViewId="0">
      <selection activeCell="E19" sqref="E19"/>
    </sheetView>
  </sheetViews>
  <sheetFormatPr defaultRowHeight="14.4" x14ac:dyDescent="0.3"/>
  <cols>
    <col min="2" max="2" width="19.88671875" bestFit="1" customWidth="1"/>
    <col min="3" max="3" width="10.33203125" bestFit="1" customWidth="1"/>
    <col min="4" max="4" width="12.5546875" bestFit="1" customWidth="1"/>
    <col min="5" max="5" width="11.5546875" bestFit="1" customWidth="1"/>
    <col min="6" max="6" width="12.5546875" bestFit="1" customWidth="1"/>
    <col min="7" max="7" width="12.33203125" bestFit="1" customWidth="1"/>
    <col min="8" max="8" width="12.5546875" bestFit="1" customWidth="1"/>
  </cols>
  <sheetData>
    <row r="4" spans="2:8" x14ac:dyDescent="0.3">
      <c r="B4" s="9" t="s">
        <v>26</v>
      </c>
    </row>
    <row r="6" spans="2:8" x14ac:dyDescent="0.3">
      <c r="B6" s="10" t="s">
        <v>20</v>
      </c>
      <c r="C6" s="10" t="s">
        <v>2</v>
      </c>
      <c r="D6" s="11" t="s">
        <v>21</v>
      </c>
      <c r="E6" s="11" t="s">
        <v>22</v>
      </c>
      <c r="F6" s="10" t="s">
        <v>23</v>
      </c>
      <c r="G6" s="10" t="s">
        <v>24</v>
      </c>
      <c r="H6" s="10" t="s">
        <v>25</v>
      </c>
    </row>
    <row r="7" spans="2:8" x14ac:dyDescent="0.3">
      <c r="B7" s="12">
        <v>273717862</v>
      </c>
      <c r="C7" s="13">
        <v>46237</v>
      </c>
      <c r="D7" s="14">
        <v>3554939.86</v>
      </c>
      <c r="E7" s="14">
        <v>143685.53</v>
      </c>
      <c r="F7" s="14">
        <f>+D7-E7</f>
        <v>3411254.33</v>
      </c>
      <c r="G7" s="14">
        <f>3000000+411254.33</f>
        <v>3411254.33</v>
      </c>
      <c r="H7" s="14">
        <f t="shared" ref="H7:H10" si="0">+F7-G7</f>
        <v>0</v>
      </c>
    </row>
    <row r="8" spans="2:8" x14ac:dyDescent="0.3">
      <c r="B8" s="12">
        <v>273721136</v>
      </c>
      <c r="C8" s="13">
        <v>46244</v>
      </c>
      <c r="D8" s="14">
        <v>63145.5</v>
      </c>
      <c r="E8" s="14">
        <v>29829.75</v>
      </c>
      <c r="F8" s="14">
        <f t="shared" ref="F8:F10" si="1">+D8-E8</f>
        <v>33315.75</v>
      </c>
      <c r="G8" s="14">
        <v>33315.75</v>
      </c>
      <c r="H8" s="14">
        <f t="shared" si="0"/>
        <v>0</v>
      </c>
    </row>
    <row r="9" spans="2:8" x14ac:dyDescent="0.3">
      <c r="B9" s="12">
        <v>273721135</v>
      </c>
      <c r="C9" s="13">
        <v>46244</v>
      </c>
      <c r="D9" s="14">
        <v>4204894.9000000004</v>
      </c>
      <c r="E9" s="14">
        <v>129493.08</v>
      </c>
      <c r="F9" s="14">
        <f t="shared" si="1"/>
        <v>4075401.8200000003</v>
      </c>
      <c r="G9" s="14">
        <v>1800000</v>
      </c>
      <c r="H9" s="14">
        <f t="shared" si="0"/>
        <v>2275401.8200000003</v>
      </c>
    </row>
    <row r="10" spans="2:8" x14ac:dyDescent="0.3">
      <c r="B10" s="12">
        <v>273721134</v>
      </c>
      <c r="C10" s="13">
        <v>46244</v>
      </c>
      <c r="D10" s="14">
        <v>117219.8</v>
      </c>
      <c r="E10" s="14">
        <v>69784.259999999995</v>
      </c>
      <c r="F10" s="14">
        <f t="shared" si="1"/>
        <v>47435.540000000008</v>
      </c>
      <c r="G10" s="14">
        <v>47435.54</v>
      </c>
      <c r="H10" s="14">
        <f t="shared" si="0"/>
        <v>0</v>
      </c>
    </row>
    <row r="11" spans="2:8" x14ac:dyDescent="0.3">
      <c r="B11" s="12"/>
      <c r="C11" s="12"/>
      <c r="D11" s="14"/>
      <c r="E11" s="14"/>
      <c r="F11" s="14"/>
      <c r="G11" s="14"/>
      <c r="H11" s="14"/>
    </row>
    <row r="12" spans="2:8" x14ac:dyDescent="0.3">
      <c r="B12" s="10"/>
      <c r="C12" s="10"/>
      <c r="D12" s="11">
        <f>SUM(D7:D11)</f>
        <v>7940200.0599999996</v>
      </c>
      <c r="E12" s="11">
        <f>SUM(E7:E11)</f>
        <v>372792.62</v>
      </c>
      <c r="F12" s="11">
        <f>SUM(F7:F11)</f>
        <v>7567407.4400000004</v>
      </c>
      <c r="G12" s="11">
        <f>SUM(G7:G11)</f>
        <v>5292005.62</v>
      </c>
      <c r="H12" s="11">
        <f>SUM(H7:H11)</f>
        <v>2275401.8200000003</v>
      </c>
    </row>
    <row r="17" spans="2:4" x14ac:dyDescent="0.3">
      <c r="B17" t="s">
        <v>27</v>
      </c>
    </row>
    <row r="19" spans="2:4" x14ac:dyDescent="0.3">
      <c r="B19" s="15" t="s">
        <v>28</v>
      </c>
      <c r="C19" s="15" t="s">
        <v>29</v>
      </c>
      <c r="D19" s="15" t="s">
        <v>21</v>
      </c>
    </row>
    <row r="20" spans="2:4" x14ac:dyDescent="0.3">
      <c r="B20" s="16" t="s">
        <v>30</v>
      </c>
      <c r="C20" s="17">
        <v>46253</v>
      </c>
      <c r="D20" s="35">
        <v>3000000</v>
      </c>
    </row>
    <row r="21" spans="2:4" x14ac:dyDescent="0.3">
      <c r="B21" s="16" t="s">
        <v>32</v>
      </c>
      <c r="C21" s="17">
        <v>46254</v>
      </c>
      <c r="D21" s="35">
        <v>411254.33</v>
      </c>
    </row>
    <row r="22" spans="2:4" x14ac:dyDescent="0.3">
      <c r="B22" s="16" t="s">
        <v>31</v>
      </c>
      <c r="C22" s="17">
        <v>46254</v>
      </c>
      <c r="D22" s="35">
        <v>33315.75</v>
      </c>
    </row>
    <row r="23" spans="2:4" x14ac:dyDescent="0.3">
      <c r="B23" s="16" t="s">
        <v>34</v>
      </c>
      <c r="C23" s="17">
        <v>46254</v>
      </c>
      <c r="D23" s="35">
        <v>1800000</v>
      </c>
    </row>
    <row r="24" spans="2:4" x14ac:dyDescent="0.3">
      <c r="B24" s="16" t="s">
        <v>33</v>
      </c>
      <c r="C24" s="17">
        <v>46254</v>
      </c>
      <c r="D24" s="35">
        <v>47435.54</v>
      </c>
    </row>
    <row r="25" spans="2:4" x14ac:dyDescent="0.3">
      <c r="B25" s="16"/>
      <c r="C25" s="17"/>
      <c r="D25" s="35"/>
    </row>
    <row r="26" spans="2:4" x14ac:dyDescent="0.3">
      <c r="B26" s="16"/>
      <c r="C26" s="17"/>
      <c r="D26" s="35"/>
    </row>
    <row r="27" spans="2:4" x14ac:dyDescent="0.3">
      <c r="B27" s="16"/>
      <c r="C27" s="16"/>
      <c r="D27" s="35"/>
    </row>
    <row r="28" spans="2:4" x14ac:dyDescent="0.3">
      <c r="B28" s="16"/>
      <c r="C28" s="15" t="s">
        <v>17</v>
      </c>
      <c r="D28" s="35">
        <f>SUM(D20:D27)</f>
        <v>5292005.62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686120c-d8ae-4154-ae32-ad67916d351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C85BF06BD3F74BB7430E74866608CA" ma:contentTypeVersion="17" ma:contentTypeDescription="Create a new document." ma:contentTypeScope="" ma:versionID="d5d9a2a494a713e406edf51285248232">
  <xsd:schema xmlns:xsd="http://www.w3.org/2001/XMLSchema" xmlns:xs="http://www.w3.org/2001/XMLSchema" xmlns:p="http://schemas.microsoft.com/office/2006/metadata/properties" xmlns:ns3="f686120c-d8ae-4154-ae32-ad67916d351c" xmlns:ns4="9de0351f-0298-4693-8421-be9ab63348b6" targetNamespace="http://schemas.microsoft.com/office/2006/metadata/properties" ma:root="true" ma:fieldsID="4053dc0fe00d8e39db60a595698484d6" ns3:_="" ns4:_="">
    <xsd:import namespace="f686120c-d8ae-4154-ae32-ad67916d351c"/>
    <xsd:import namespace="9de0351f-0298-4693-8421-be9ab63348b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86120c-d8ae-4154-ae32-ad67916d35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description="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0351f-0298-4693-8421-be9ab63348b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EB6A1F-496B-4DE8-BC6E-3101AAD21440}">
  <ds:schemaRefs>
    <ds:schemaRef ds:uri="f686120c-d8ae-4154-ae32-ad67916d351c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9de0351f-0298-4693-8421-be9ab63348b6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433C210-26B0-411D-A520-DEF77148DE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AB8FA3-2E96-4849-B6A1-859A7259E6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86120c-d8ae-4154-ae32-ad67916d351c"/>
    <ds:schemaRef ds:uri="9de0351f-0298-4693-8421-be9ab63348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Absolute Finance Team</dc:creator>
  <cp:lastModifiedBy>Absolute Finance Team</cp:lastModifiedBy>
  <dcterms:created xsi:type="dcterms:W3CDTF">2026-08-12T10:29:57Z</dcterms:created>
  <dcterms:modified xsi:type="dcterms:W3CDTF">2026-08-21T02:35:45Z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0x010100B3C85BF06BD3F74BB7430E74866608CA</vt:lpwstr>
  </property>
</Properties>
</file>